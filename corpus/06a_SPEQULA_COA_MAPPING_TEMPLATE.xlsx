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Read Me" sheetId="1" state="visible" r:id="rId1"/>
    <sheet name="Canonical Classes" sheetId="2" state="visible" r:id="rId2"/>
    <sheet name="Mapping" sheetId="3" state="visible" r:id="rId3"/>
    <sheet name="Coverage" sheetId="4" state="visible" r:id="rId4"/>
    <sheet name="Item Mapping" sheetId="5" state="visible" r:id="rId5"/>
    <sheet name="Channel Mapping" sheetId="6" state="visible" r:id="rId6"/>
  </sheets>
  <definedNames/>
  <calcPr calcId="124519" fullCalcOnLoad="1" refMode="A1" iterate="0" iterateCount="100" iterateDelta="0.0001"/>
</workbook>
</file>

<file path=xl/styles.xml><?xml version="1.0" encoding="utf-8"?>
<styleSheet xmlns="http://schemas.openxmlformats.org/spreadsheetml/2006/main">
  <numFmts count="3">
    <numFmt numFmtId="164" formatCode="#,##0;\(#,##0\);\-"/>
    <numFmt numFmtId="165" formatCode="yyyy\-mm\-dd"/>
    <numFmt numFmtId="166" formatCode="0.0%"/>
  </numFmts>
  <fonts count="13">
    <font>
      <name val="Calibri"/>
      <charset val="1"/>
      <family val="2"/>
      <color theme="1"/>
      <sz val="11"/>
    </font>
    <font>
      <name val="Arial"/>
      <family val="0"/>
      <sz val="10"/>
    </font>
    <font>
      <name val="Arial"/>
      <family val="0"/>
      <sz val="10"/>
    </font>
    <font>
      <name val="Arial"/>
      <family val="0"/>
      <sz val="10"/>
    </font>
    <font>
      <name val="Arial"/>
      <charset val="1"/>
      <family val="0"/>
      <b val="1"/>
      <color rgb="FF1F3864"/>
      <sz val="14"/>
    </font>
    <font>
      <name val="Arial"/>
      <charset val="1"/>
      <family val="0"/>
      <i val="1"/>
      <color rgb="FF595959"/>
      <sz val="10"/>
    </font>
    <font>
      <name val="Arial"/>
      <charset val="1"/>
      <family val="0"/>
      <sz val="10"/>
    </font>
    <font>
      <name val="Arial"/>
      <charset val="1"/>
      <family val="0"/>
      <b val="1"/>
      <color rgb="FF1F3864"/>
      <sz val="11"/>
    </font>
    <font>
      <name val="Arial"/>
      <charset val="1"/>
      <family val="0"/>
      <b val="1"/>
      <color rgb="FFFFFFFF"/>
      <sz val="10"/>
    </font>
    <font>
      <name val="Arial"/>
      <charset val="1"/>
      <family val="0"/>
      <b val="1"/>
      <sz val="10"/>
    </font>
    <font>
      <name val="Arial"/>
      <charset val="1"/>
      <family val="0"/>
      <i val="1"/>
      <color rgb="FF0000FF"/>
      <sz val="10"/>
    </font>
    <font>
      <name val="Arial"/>
      <charset val="1"/>
      <family val="0"/>
      <sz val="9"/>
    </font>
    <font>
      <name val="Arial"/>
      <charset val="1"/>
      <family val="0"/>
      <b val="1"/>
      <sz val="12"/>
    </font>
  </fonts>
  <fills count="7">
    <fill>
      <patternFill/>
    </fill>
    <fill>
      <patternFill patternType="gray125"/>
    </fill>
    <fill>
      <patternFill patternType="solid">
        <fgColor rgb="FFFCE4D6"/>
        <bgColor rgb="FFFFF2CC"/>
      </patternFill>
    </fill>
    <fill>
      <patternFill patternType="solid">
        <fgColor rgb="FF1F3864"/>
        <bgColor rgb="FF333333"/>
      </patternFill>
    </fill>
    <fill>
      <patternFill patternType="solid">
        <fgColor rgb="FFFFF2CC"/>
        <bgColor rgb="FFFCE4D6"/>
      </patternFill>
    </fill>
    <fill>
      <patternFill patternType="solid">
        <fgColor rgb="FFFFFF00"/>
        <bgColor rgb="FFFFFF00"/>
      </patternFill>
    </fill>
    <fill>
      <patternFill patternType="solid">
        <fgColor rgb="FFE2EFDA"/>
        <bgColor rgb="FFFCE4D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8">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top" wrapText="1"/>
    </xf>
    <xf numFmtId="0" fontId="7" fillId="0" borderId="0" applyAlignment="1" pivotButton="0" quotePrefix="0" xfId="0">
      <alignment horizontal="general" vertical="bottom"/>
    </xf>
    <xf numFmtId="0" fontId="6" fillId="2" borderId="0" applyAlignment="1" pivotButton="0" quotePrefix="0" xfId="0">
      <alignment horizontal="general" vertical="top" wrapText="1"/>
    </xf>
    <xf numFmtId="0" fontId="8" fillId="3" borderId="1" applyAlignment="1" pivotButton="0" quotePrefix="0" xfId="0">
      <alignment horizontal="general" vertical="center" wrapText="1"/>
    </xf>
    <xf numFmtId="0" fontId="6" fillId="0" borderId="1" applyAlignment="1" pivotButton="0" quotePrefix="0" xfId="0">
      <alignment horizontal="general" vertical="top" wrapText="1"/>
    </xf>
    <xf numFmtId="0" fontId="9" fillId="4" borderId="1" applyAlignment="1" pivotButton="0" quotePrefix="0" xfId="0">
      <alignment horizontal="general" vertical="top" wrapText="1"/>
    </xf>
    <xf numFmtId="0" fontId="6" fillId="4" borderId="1" applyAlignment="1" pivotButton="0" quotePrefix="0" xfId="0">
      <alignment horizontal="general" vertical="top" wrapText="1"/>
    </xf>
    <xf numFmtId="0" fontId="9" fillId="0" borderId="0" applyAlignment="1" pivotButton="0" quotePrefix="0" xfId="0">
      <alignment horizontal="general" vertical="bottom"/>
    </xf>
    <xf numFmtId="0" fontId="10" fillId="5" borderId="1" applyAlignment="1" pivotButton="0" quotePrefix="0" xfId="0">
      <alignment horizontal="general" vertical="bottom"/>
    </xf>
    <xf numFmtId="164" fontId="10" fillId="5" borderId="1" applyAlignment="1" pivotButton="0" quotePrefix="0" xfId="0">
      <alignment horizontal="general" vertical="bottom"/>
    </xf>
    <xf numFmtId="165" fontId="10" fillId="5" borderId="1" applyAlignment="1" pivotButton="0" quotePrefix="0" xfId="0">
      <alignment horizontal="general" vertical="bottom"/>
    </xf>
    <xf numFmtId="164" fontId="0" fillId="0" borderId="0" applyAlignment="1" pivotButton="0" quotePrefix="0" xfId="0">
      <alignment horizontal="general" vertical="bottom"/>
    </xf>
    <xf numFmtId="165" fontId="0" fillId="0" borderId="0" applyAlignment="1" pivotButton="0" quotePrefix="0" xfId="0">
      <alignment horizontal="general" vertical="bottom"/>
    </xf>
    <xf numFmtId="0" fontId="6" fillId="0" borderId="0" applyAlignment="1" pivotButton="0" quotePrefix="0" xfId="0">
      <alignment horizontal="general" vertical="bottom"/>
    </xf>
    <xf numFmtId="0" fontId="11" fillId="0" borderId="0" applyAlignment="1" pivotButton="0" quotePrefix="0" xfId="0">
      <alignment horizontal="general" vertical="top" wrapText="1"/>
    </xf>
    <xf numFmtId="164" fontId="9" fillId="0" borderId="0" applyAlignment="1" pivotButton="0" quotePrefix="0" xfId="0">
      <alignment horizontal="general" vertical="bottom"/>
    </xf>
    <xf numFmtId="166" fontId="9" fillId="0" borderId="0" applyAlignment="1" pivotButton="0" quotePrefix="0" xfId="0">
      <alignment horizontal="general" vertical="bottom"/>
    </xf>
    <xf numFmtId="0" fontId="12" fillId="6" borderId="0" applyAlignment="1" pivotButton="0" quotePrefix="0" xfId="0">
      <alignment horizontal="general" vertical="bottom"/>
    </xf>
    <xf numFmtId="0" fontId="9" fillId="0" borderId="0" applyAlignment="1" pivotButton="0" quotePrefix="0" xfId="0">
      <alignment horizontal="general" vertical="top" wrapText="1"/>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top" wrapText="1"/>
    </xf>
    <xf numFmtId="0" fontId="7" fillId="0" borderId="0" applyAlignment="1" pivotButton="0" quotePrefix="0" xfId="0">
      <alignment horizontal="general" vertical="bottom"/>
    </xf>
    <xf numFmtId="0" fontId="6" fillId="2" borderId="0" applyAlignment="1" pivotButton="0" quotePrefix="0" xfId="0">
      <alignment horizontal="general" vertical="top" wrapText="1"/>
    </xf>
    <xf numFmtId="0" fontId="8" fillId="3" borderId="1" applyAlignment="1" pivotButton="0" quotePrefix="0" xfId="0">
      <alignment horizontal="general" vertical="center" wrapText="1"/>
    </xf>
    <xf numFmtId="0" fontId="6" fillId="0" borderId="1" applyAlignment="1" pivotButton="0" quotePrefix="0" xfId="0">
      <alignment horizontal="general" vertical="top" wrapText="1"/>
    </xf>
    <xf numFmtId="0" fontId="9" fillId="4" borderId="1" applyAlignment="1" pivotButton="0" quotePrefix="0" xfId="0">
      <alignment horizontal="general" vertical="top" wrapText="1"/>
    </xf>
    <xf numFmtId="0" fontId="6" fillId="4" borderId="1" applyAlignment="1" pivotButton="0" quotePrefix="0" xfId="0">
      <alignment horizontal="general" vertical="top" wrapText="1"/>
    </xf>
    <xf numFmtId="0" fontId="9" fillId="0" borderId="0" applyAlignment="1" pivotButton="0" quotePrefix="0" xfId="0">
      <alignment horizontal="general" vertical="bottom"/>
    </xf>
    <xf numFmtId="0" fontId="10" fillId="5" borderId="1" applyAlignment="1" pivotButton="0" quotePrefix="0" xfId="0">
      <alignment horizontal="general" vertical="bottom"/>
    </xf>
    <xf numFmtId="164" fontId="10" fillId="5" borderId="1" applyAlignment="1" pivotButton="0" quotePrefix="0" xfId="0">
      <alignment horizontal="general" vertical="bottom"/>
    </xf>
    <xf numFmtId="165" fontId="10" fillId="5" borderId="1" applyAlignment="1" pivotButton="0" quotePrefix="0" xfId="0">
      <alignment horizontal="general" vertical="bottom"/>
    </xf>
    <xf numFmtId="164" fontId="0" fillId="0" borderId="0" applyAlignment="1" pivotButton="0" quotePrefix="0" xfId="0">
      <alignment horizontal="general" vertical="bottom"/>
    </xf>
    <xf numFmtId="165" fontId="0" fillId="0" borderId="0" applyAlignment="1" pivotButton="0" quotePrefix="0" xfId="0">
      <alignment horizontal="general" vertical="bottom"/>
    </xf>
    <xf numFmtId="0" fontId="6" fillId="0" borderId="0" applyAlignment="1" pivotButton="0" quotePrefix="0" xfId="0">
      <alignment horizontal="general" vertical="bottom"/>
    </xf>
    <xf numFmtId="0" fontId="11" fillId="0" borderId="0" applyAlignment="1" pivotButton="0" quotePrefix="0" xfId="0">
      <alignment horizontal="general" vertical="top" wrapText="1"/>
    </xf>
    <xf numFmtId="164" fontId="9" fillId="0" borderId="0" applyAlignment="1" pivotButton="0" quotePrefix="0" xfId="0">
      <alignment horizontal="general" vertical="bottom"/>
    </xf>
    <xf numFmtId="166" fontId="9" fillId="0" borderId="0" applyAlignment="1" pivotButton="0" quotePrefix="0" xfId="0">
      <alignment horizontal="general" vertical="bottom"/>
    </xf>
    <xf numFmtId="0" fontId="12" fillId="6" borderId="0" applyAlignment="1" pivotButton="0" quotePrefix="0" xfId="0">
      <alignment horizontal="general" vertical="bottom"/>
    </xf>
    <xf numFmtId="0" fontId="9" fillId="0" borderId="0" applyAlignment="1" pivotButton="0" quotePrefix="0" xfId="0">
      <alignment horizontal="general" vertical="top" wrapText="1"/>
    </xf>
    <xf numFmtId="0" fontId="5"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B2:B28"/>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 customWidth="1" style="24" min="1" max="1"/>
    <col width="100" customWidth="1" style="24" min="2" max="2"/>
  </cols>
  <sheetData>
    <row r="2" ht="17.35" customHeight="1" s="25">
      <c r="B2" s="26" t="inlineStr">
        <is>
          <t>SPEQULA Chart of Accounts Mapping Workbook</t>
        </is>
      </c>
    </row>
    <row r="3" ht="15" customHeight="1" s="25">
      <c r="B3" s="27" t="inlineStr">
        <is>
          <t>Corpus file 06a. Companion to 06_SPEQULA_MAPPING_SPEC.md.</t>
        </is>
      </c>
    </row>
    <row r="4" ht="15" customHeight="1" s="25">
      <c r="B4" s="28" t="n"/>
    </row>
    <row r="5" ht="15" customHeight="1" s="25">
      <c r="B5" s="29" t="inlineStr">
        <is>
          <t>Purpose</t>
        </is>
      </c>
    </row>
    <row r="6" ht="45" customHeight="1" s="25">
      <c r="B6" s="28" t="inlineStr">
        <is>
          <t>One worksheet per company. Every ledger in the source chart of accounts is assigned a canonical class, reviewed by a named person, and frozen as version 1. Nothing downstream computes until that freeze happens.</t>
        </is>
      </c>
    </row>
    <row r="7" ht="15" customHeight="1" s="25">
      <c r="B7" s="28" t="n"/>
    </row>
    <row r="8" ht="15" customHeight="1" s="25">
      <c r="B8" s="29" t="inlineStr">
        <is>
          <t>The rule that makes this an afternoon rather than two weeks</t>
        </is>
      </c>
    </row>
    <row r="9" ht="60" customHeight="1" s="25">
      <c r="B9" s="28" t="inlineStr">
        <is>
          <t>Sort by rupee value, not by count. A company with 900 ledgers will have around 40 that carry the great majority of the value. Map those, watch the coverage figure on the Coverage tab, and stop when it passes the threshold. The long tail sits in suspense.unmapped, visible and quantified, until someone cares.</t>
        </is>
      </c>
    </row>
    <row r="10" ht="15" customHeight="1" s="25">
      <c r="B10" s="28" t="n"/>
    </row>
    <row r="11" ht="15" customHeight="1" s="25">
      <c r="B11" s="29" t="inlineStr">
        <is>
          <t>Workflow</t>
        </is>
      </c>
    </row>
    <row r="12" ht="30" customHeight="1" s="25">
      <c r="B12" s="28" t="inlineStr">
        <is>
          <t>1. Paste the source chart of accounts into the Mapping tab, columns A to F. Include the 12-month movement and the closing value, because the sort depends on them.</t>
        </is>
      </c>
    </row>
    <row r="13" ht="15" customHeight="1" s="25">
      <c r="B13" s="28" t="inlineStr">
        <is>
          <t>2. Sort descending by column G, absolute value carried.</t>
        </is>
      </c>
    </row>
    <row r="14" ht="15" customHeight="1" s="25">
      <c r="B14" s="28" t="inlineStr">
        <is>
          <t>3. Assign a canonical class in column H, choosing from the dropdown.</t>
        </is>
      </c>
    </row>
    <row r="15" ht="15" customHeight="1" s="25">
      <c r="B15" s="28" t="inlineStr">
        <is>
          <t>4. Record who approved it and when, columns L and M. Every row needs a name.</t>
        </is>
      </c>
    </row>
    <row r="16" ht="15" customHeight="1" s="25">
      <c r="B16" s="28" t="inlineStr">
        <is>
          <t>5. Check the Coverage tab. When mapped value passes the threshold, freeze as v1.</t>
        </is>
      </c>
    </row>
    <row r="17" ht="15" customHeight="1" s="25">
      <c r="B17" s="28" t="n"/>
    </row>
    <row r="18" ht="15" customHeight="1" s="25">
      <c r="B18" s="29" t="inlineStr">
        <is>
          <t>Judgement classes</t>
        </is>
      </c>
    </row>
    <row r="19" ht="60" customHeight="1" s="25">
      <c r="B19" s="28" t="inlineStr">
        <is>
          <t>Six classes are shaded on the Canonical Classes tab and must never be assigned by an automated proposal: owner remuneration, related party charges, absorption variance, bill discounting, related party debt, and exceptional one-offs. Each one changes EBITDA, debt or margin in a way a reader will argue about. A person assigns them or they stay in suspense.</t>
        </is>
      </c>
    </row>
    <row r="20" ht="15" customHeight="1" s="25">
      <c r="B20" s="28" t="n"/>
    </row>
    <row r="21" ht="15" customHeight="1" s="25">
      <c r="B21" s="29" t="inlineStr">
        <is>
          <t>Do not clean the ledger names</t>
        </is>
      </c>
    </row>
    <row r="22" ht="45" customHeight="1" s="25">
      <c r="B22" s="28" t="inlineStr">
        <is>
          <t>Paste them exactly as they appear in the books. A name like Sales - Retail (Delhi) carries a channel and a geography that exist nowhere else in the source system. Title-cased and stripped of its bracket, that information is gone permanently.</t>
        </is>
      </c>
    </row>
    <row r="23" ht="15" customHeight="1" s="25">
      <c r="B23" s="28" t="n"/>
    </row>
    <row r="24" ht="15" customHeight="1" s="25">
      <c r="B24" s="29" t="inlineStr">
        <is>
          <t>Status of the taxonomy</t>
        </is>
      </c>
    </row>
    <row r="25" ht="60" customHeight="1" s="25">
      <c r="B25" s="30" t="inlineStr">
        <is>
          <t>PROVISIONAL, version 0. The 84 classes on the Canonical Classes tab were constructed from general knowledge of Indian mid-market accounts and have not yet absorbed a real chart of accounts. Expect to add classes, merge classes and find ledgers that fit nowhere. Revise against the first real trial balance before freezing the taxonomy for company two.</t>
        </is>
      </c>
    </row>
    <row r="26" ht="15" customHeight="1" s="25">
      <c r="B26" s="28" t="n"/>
    </row>
    <row r="27" ht="15" customHeight="1" s="25">
      <c r="B27" s="29" t="inlineStr">
        <is>
          <t>Decisions referenced</t>
        </is>
      </c>
    </row>
    <row r="28" ht="45" customHeight="1" s="25">
      <c r="B28" s="28" t="inlineStr">
        <is>
          <t>Many classes carry a decision id from corpus file 00. Where that decision is unresolved, the class still exists and can still be assigned; what is undefined is which statement line it lands on. Resolve the 22 P0-BLOCKING decisions before generating statements from this mapping.</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F92"/>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8" customWidth="1" style="24" min="1" max="1"/>
    <col width="8" customWidth="1" style="24" min="2" max="2"/>
    <col width="24" customWidth="1" style="24" min="3" max="3"/>
    <col width="16" customWidth="1" style="24" min="4" max="4"/>
    <col width="12" customWidth="1" style="24" min="5" max="5"/>
    <col width="56" customWidth="1" style="24" min="6" max="6"/>
  </cols>
  <sheetData>
    <row r="1" ht="17.35" customHeight="1" s="25">
      <c r="A1" s="26" t="inlineStr">
        <is>
          <t>Canonical class taxonomy, version 0 (provisional)</t>
        </is>
      </c>
    </row>
    <row r="2" ht="15" customHeight="1" s="25">
      <c r="A2" s="27" t="inlineStr">
        <is>
          <t>Shaded rows are judgement classes and are never assigned by an automated proposal. See the Read Me tab.</t>
        </is>
      </c>
    </row>
    <row r="3"/>
    <row r="4" ht="25.5" customHeight="1" s="25">
      <c r="A4" s="31" t="inlineStr">
        <is>
          <t>Canonical class</t>
        </is>
      </c>
      <c r="B4" s="31" t="inlineStr">
        <is>
          <t>Stmt</t>
        </is>
      </c>
      <c r="C4" s="31" t="inlineStr">
        <is>
          <t>Statement line</t>
        </is>
      </c>
      <c r="D4" s="31" t="inlineStr">
        <is>
          <t>Profile</t>
        </is>
      </c>
      <c r="E4" s="31" t="inlineStr">
        <is>
          <t>Decision</t>
        </is>
      </c>
      <c r="F4" s="31" t="inlineStr">
        <is>
          <t>Notes</t>
        </is>
      </c>
    </row>
    <row r="5" ht="15" customHeight="1" s="25">
      <c r="A5" s="32" t="inlineStr">
        <is>
          <t>revenue.product_sales</t>
        </is>
      </c>
      <c r="B5" s="32" t="inlineStr">
        <is>
          <t>P&amp;L</t>
        </is>
      </c>
      <c r="C5" s="32" t="inlineStr">
        <is>
          <t>gross_revenue</t>
        </is>
      </c>
      <c r="D5" s="32" t="inlineStr">
        <is>
          <t>Both</t>
        </is>
      </c>
      <c r="E5" s="32" t="n"/>
      <c r="F5" s="32" t="inlineStr">
        <is>
          <t>Domestic sale of goods</t>
        </is>
      </c>
    </row>
    <row r="6" ht="15" customHeight="1" s="25">
      <c r="A6" s="32" t="inlineStr">
        <is>
          <t>revenue.service_income</t>
        </is>
      </c>
      <c r="B6" s="32" t="inlineStr">
        <is>
          <t>P&amp;L</t>
        </is>
      </c>
      <c r="C6" s="32" t="inlineStr">
        <is>
          <t>gross_revenue</t>
        </is>
      </c>
      <c r="D6" s="32" t="inlineStr">
        <is>
          <t>Both</t>
        </is>
      </c>
      <c r="E6" s="32" t="n"/>
      <c r="F6" s="32" t="n"/>
    </row>
    <row r="7" ht="15" customHeight="1" s="25">
      <c r="A7" s="32" t="inlineStr">
        <is>
          <t>revenue.job_work</t>
        </is>
      </c>
      <c r="B7" s="32" t="inlineStr">
        <is>
          <t>P&amp;L</t>
        </is>
      </c>
      <c r="C7" s="32" t="inlineStr">
        <is>
          <t>gross_revenue</t>
        </is>
      </c>
      <c r="D7" s="32" t="inlineStr">
        <is>
          <t>Manufacturing</t>
        </is>
      </c>
      <c r="E7" s="32" t="inlineStr">
        <is>
          <t>D-010</t>
        </is>
      </c>
      <c r="F7" s="32" t="inlineStr">
        <is>
          <t>Job work income received</t>
        </is>
      </c>
    </row>
    <row r="8" ht="15" customHeight="1" s="25">
      <c r="A8" s="32" t="inlineStr">
        <is>
          <t>revenue.export_sales</t>
        </is>
      </c>
      <c r="B8" s="32" t="inlineStr">
        <is>
          <t>P&amp;L</t>
        </is>
      </c>
      <c r="C8" s="32" t="inlineStr">
        <is>
          <t>gross_revenue</t>
        </is>
      </c>
      <c r="D8" s="32" t="inlineStr">
        <is>
          <t>Both</t>
        </is>
      </c>
      <c r="E8" s="32" t="inlineStr">
        <is>
          <t>D-008</t>
        </is>
      </c>
      <c r="F8" s="32" t="inlineStr">
        <is>
          <t>Separate: currency and incentive treatment differ</t>
        </is>
      </c>
    </row>
    <row r="9" ht="15" customHeight="1" s="25">
      <c r="A9" s="32" t="inlineStr">
        <is>
          <t>revenue.scrap_sales</t>
        </is>
      </c>
      <c r="B9" s="32" t="inlineStr">
        <is>
          <t>P&amp;L</t>
        </is>
      </c>
      <c r="C9" s="32" t="inlineStr">
        <is>
          <t>gross_revenue</t>
        </is>
      </c>
      <c r="D9" s="32" t="inlineStr">
        <is>
          <t>Manufacturing</t>
        </is>
      </c>
      <c r="E9" s="32" t="inlineStr">
        <is>
          <t>D-009</t>
        </is>
      </c>
      <c r="F9" s="32" t="inlineStr">
        <is>
          <t>May instead credit COGS</t>
        </is>
      </c>
    </row>
    <row r="10" ht="15" customHeight="1" s="25">
      <c r="A10" s="32" t="inlineStr">
        <is>
          <t>revenue.other_operating</t>
        </is>
      </c>
      <c r="B10" s="32" t="inlineStr">
        <is>
          <t>P&amp;L</t>
        </is>
      </c>
      <c r="C10" s="32" t="inlineStr">
        <is>
          <t>gross_revenue</t>
        </is>
      </c>
      <c r="D10" s="32" t="inlineStr">
        <is>
          <t>Both</t>
        </is>
      </c>
      <c r="E10" s="32" t="n"/>
      <c r="F10" s="32" t="inlineStr">
        <is>
          <t>Freight and packing recovered</t>
        </is>
      </c>
    </row>
    <row r="11" ht="15" customHeight="1" s="25">
      <c r="A11" s="24" t="inlineStr">
        <is>
          <t>revenue.commission_marketplace</t>
        </is>
      </c>
      <c r="B11" s="24" t="inlineStr">
        <is>
          <t>P&amp;L</t>
        </is>
      </c>
      <c r="C11" s="24" t="inlineStr">
        <is>
          <t>gross_revenue</t>
        </is>
      </c>
      <c r="D11" s="24" t="inlineStr">
        <is>
          <t>Consumer</t>
        </is>
      </c>
      <c r="E11" s="24" t="inlineStr">
        <is>
          <t>D-004|D-061</t>
        </is>
      </c>
      <c r="F11" s="24" t="inlineStr">
        <is>
          <t>Marketplace-earned commission, advertising and platform fee income -- OQ-006 resolution, 2026-08-24. GL-side counterpart to fact_channel_order_line.commission_earned/advertising_earned/platform_fee_earned; distinct from contra_revenue.commission_marketplace (commission a seller BEARS under the buyout model, D-004).</t>
        </is>
      </c>
    </row>
    <row r="12" ht="15" customHeight="1" s="25">
      <c r="A12" s="32" t="inlineStr">
        <is>
          <t>contra_revenue.sales_returns</t>
        </is>
      </c>
      <c r="B12" s="32" t="inlineStr">
        <is>
          <t>P&amp;L</t>
        </is>
      </c>
      <c r="C12" s="32" t="inlineStr">
        <is>
          <t>returns</t>
        </is>
      </c>
      <c r="D12" s="32" t="inlineStr">
        <is>
          <t>Both</t>
        </is>
      </c>
      <c r="E12" s="32" t="inlineStr">
        <is>
          <t>D-047</t>
        </is>
      </c>
      <c r="F12" s="32" t="n"/>
    </row>
    <row r="13" ht="15" customHeight="1" s="25">
      <c r="A13" s="32" t="inlineStr">
        <is>
          <t>contra_revenue.trade_discount</t>
        </is>
      </c>
      <c r="B13" s="32" t="inlineStr">
        <is>
          <t>P&amp;L</t>
        </is>
      </c>
      <c r="C13" s="32" t="inlineStr">
        <is>
          <t>discounts</t>
        </is>
      </c>
      <c r="D13" s="32" t="inlineStr">
        <is>
          <t>Both</t>
        </is>
      </c>
      <c r="E13" s="32" t="inlineStr">
        <is>
          <t>D-003</t>
        </is>
      </c>
      <c r="F13" s="32" t="n"/>
    </row>
    <row r="14" ht="15" customHeight="1" s="25">
      <c r="A14" s="32" t="inlineStr">
        <is>
          <t>contra_revenue.cash_discount</t>
        </is>
      </c>
      <c r="B14" s="32" t="inlineStr">
        <is>
          <t>P&amp;L</t>
        </is>
      </c>
      <c r="C14" s="32" t="inlineStr">
        <is>
          <t>discounts</t>
        </is>
      </c>
      <c r="D14" s="32" t="inlineStr">
        <is>
          <t>Both</t>
        </is>
      </c>
      <c r="E14" s="32" t="inlineStr">
        <is>
          <t>D-003</t>
        </is>
      </c>
      <c r="F14" s="32" t="n"/>
    </row>
    <row r="15" ht="15" customHeight="1" s="25">
      <c r="A15" s="32" t="inlineStr">
        <is>
          <t>contra_revenue.rate_difference</t>
        </is>
      </c>
      <c r="B15" s="32" t="inlineStr">
        <is>
          <t>P&amp;L</t>
        </is>
      </c>
      <c r="C15" s="32" t="inlineStr">
        <is>
          <t>discounts</t>
        </is>
      </c>
      <c r="D15" s="32" t="inlineStr">
        <is>
          <t>Both</t>
        </is>
      </c>
      <c r="E15" s="32" t="inlineStr">
        <is>
          <t>D-003</t>
        </is>
      </c>
      <c r="F15" s="32" t="inlineStr">
        <is>
          <t>Common in distribution</t>
        </is>
      </c>
    </row>
    <row r="16" ht="15" customHeight="1" s="25">
      <c r="A16" s="32" t="inlineStr">
        <is>
          <t>contra_revenue.scheme_rebate</t>
        </is>
      </c>
      <c r="B16" s="32" t="inlineStr">
        <is>
          <t>P&amp;L</t>
        </is>
      </c>
      <c r="C16" s="32" t="inlineStr">
        <is>
          <t>discounts</t>
        </is>
      </c>
      <c r="D16" s="32" t="inlineStr">
        <is>
          <t>Both</t>
        </is>
      </c>
      <c r="E16" s="32" t="inlineStr">
        <is>
          <t>D-003</t>
        </is>
      </c>
      <c r="F16" s="32" t="inlineStr">
        <is>
          <t>May instead be opex</t>
        </is>
      </c>
    </row>
    <row r="17" ht="15" customHeight="1" s="25">
      <c r="A17" s="32" t="inlineStr">
        <is>
          <t>contra_revenue.commission_marketplace</t>
        </is>
      </c>
      <c r="B17" s="32" t="inlineStr">
        <is>
          <t>P&amp;L</t>
        </is>
      </c>
      <c r="C17" s="32" t="inlineStr">
        <is>
          <t>net_revenue</t>
        </is>
      </c>
      <c r="D17" s="32" t="inlineStr">
        <is>
          <t>Consumer</t>
        </is>
      </c>
      <c r="E17" s="32" t="inlineStr">
        <is>
          <t>D-004</t>
        </is>
      </c>
      <c r="F17" s="32" t="inlineStr">
        <is>
          <t>Netted or shown as cost</t>
        </is>
      </c>
    </row>
    <row r="18" ht="15" customHeight="1" s="25">
      <c r="A18" s="32" t="inlineStr">
        <is>
          <t>contra_revenue.shipping_recovered</t>
        </is>
      </c>
      <c r="B18" s="32" t="inlineStr">
        <is>
          <t>P&amp;L</t>
        </is>
      </c>
      <c r="C18" s="32" t="inlineStr">
        <is>
          <t>net_revenue</t>
        </is>
      </c>
      <c r="D18" s="32" t="inlineStr">
        <is>
          <t>Consumer</t>
        </is>
      </c>
      <c r="E18" s="32" t="inlineStr">
        <is>
          <t>D-005</t>
        </is>
      </c>
      <c r="F18" s="32" t="n"/>
    </row>
    <row r="19" ht="15" customHeight="1" s="25">
      <c r="A19" s="32" t="inlineStr">
        <is>
          <t>cogs.raw_material</t>
        </is>
      </c>
      <c r="B19" s="32" t="inlineStr">
        <is>
          <t>P&amp;L</t>
        </is>
      </c>
      <c r="C19" s="32" t="inlineStr">
        <is>
          <t>cogs</t>
        </is>
      </c>
      <c r="D19" s="32" t="inlineStr">
        <is>
          <t>Both</t>
        </is>
      </c>
      <c r="E19" s="32" t="n"/>
      <c r="F19" s="32" t="n"/>
    </row>
    <row r="20" ht="15" customHeight="1" s="25">
      <c r="A20" s="32" t="inlineStr">
        <is>
          <t>cogs.packing_material</t>
        </is>
      </c>
      <c r="B20" s="32" t="inlineStr">
        <is>
          <t>P&amp;L</t>
        </is>
      </c>
      <c r="C20" s="32" t="inlineStr">
        <is>
          <t>cogs</t>
        </is>
      </c>
      <c r="D20" s="32" t="inlineStr">
        <is>
          <t>Both</t>
        </is>
      </c>
      <c r="E20" s="32" t="inlineStr">
        <is>
          <t>D-013</t>
        </is>
      </c>
      <c r="F20" s="32" t="inlineStr">
        <is>
          <t>Primary vs secondary may split</t>
        </is>
      </c>
    </row>
    <row r="21" ht="15" customHeight="1" s="25">
      <c r="A21" s="32" t="inlineStr">
        <is>
          <t>cogs.stores_consumables</t>
        </is>
      </c>
      <c r="B21" s="32" t="inlineStr">
        <is>
          <t>P&amp;L</t>
        </is>
      </c>
      <c r="C21" s="32" t="inlineStr">
        <is>
          <t>cogs</t>
        </is>
      </c>
      <c r="D21" s="32" t="inlineStr">
        <is>
          <t>Manufacturing</t>
        </is>
      </c>
      <c r="E21" s="32" t="n"/>
      <c r="F21" s="32" t="n"/>
    </row>
    <row r="22" ht="15" customHeight="1" s="25">
      <c r="A22" s="32" t="inlineStr">
        <is>
          <t>opex.direct_labour</t>
        </is>
      </c>
      <c r="B22" s="32" t="inlineStr">
        <is>
          <t>P&amp;L</t>
        </is>
      </c>
      <c r="C22" s="32" t="inlineStr">
        <is>
          <t>opex</t>
        </is>
      </c>
      <c r="D22" s="32" t="inlineStr">
        <is>
          <t>Manufacturing</t>
        </is>
      </c>
      <c r="E22" s="32" t="inlineStr">
        <is>
          <t>D-016</t>
        </is>
      </c>
      <c r="F22" s="32" t="inlineStr">
        <is>
          <t>Needs a cost centre split that often does not exist. D-016 resolved 2026-08-24: opex, not COGS -- moved here from cogs.direct_labour.</t>
        </is>
      </c>
    </row>
    <row r="23" ht="15" customHeight="1" s="25">
      <c r="A23" s="32" t="inlineStr">
        <is>
          <t>opex.power_fuel</t>
        </is>
      </c>
      <c r="B23" s="32" t="inlineStr">
        <is>
          <t>P&amp;L</t>
        </is>
      </c>
      <c r="C23" s="32" t="inlineStr">
        <is>
          <t>opex</t>
        </is>
      </c>
      <c r="D23" s="32" t="inlineStr">
        <is>
          <t>Manufacturing</t>
        </is>
      </c>
      <c r="E23" s="32" t="inlineStr">
        <is>
          <t>D-015</t>
        </is>
      </c>
      <c r="F23" s="32" t="inlineStr">
        <is>
          <t>D-015 resolved 2026-08-24: opex, not COGS -- moved here from cogs.power_fuel.</t>
        </is>
      </c>
    </row>
    <row r="24" ht="15" customHeight="1" s="25">
      <c r="A24" s="32" t="inlineStr">
        <is>
          <t>cogs.job_work_charges</t>
        </is>
      </c>
      <c r="B24" s="32" t="inlineStr">
        <is>
          <t>P&amp;L</t>
        </is>
      </c>
      <c r="C24" s="32" t="inlineStr">
        <is>
          <t>cogs</t>
        </is>
      </c>
      <c r="D24" s="32" t="inlineStr">
        <is>
          <t>Manufacturing</t>
        </is>
      </c>
      <c r="E24" s="32" t="n"/>
      <c r="F24" s="32" t="inlineStr">
        <is>
          <t>Subcontracting paid out</t>
        </is>
      </c>
    </row>
    <row r="25" ht="15" customHeight="1" s="25">
      <c r="A25" s="32" t="inlineStr">
        <is>
          <t>cogs.freight_inward</t>
        </is>
      </c>
      <c r="B25" s="32" t="inlineStr">
        <is>
          <t>P&amp;L</t>
        </is>
      </c>
      <c r="C25" s="32" t="inlineStr">
        <is>
          <t>cogs</t>
        </is>
      </c>
      <c r="D25" s="32" t="inlineStr">
        <is>
          <t>Both</t>
        </is>
      </c>
      <c r="E25" s="32" t="inlineStr">
        <is>
          <t>D-012</t>
        </is>
      </c>
      <c r="F25" s="32" t="inlineStr">
        <is>
          <t>Capitalised into inventory or expensed</t>
        </is>
      </c>
    </row>
    <row r="26" ht="15" customHeight="1" s="25">
      <c r="A26" s="32" t="inlineStr">
        <is>
          <t>cogs.freight_outward</t>
        </is>
      </c>
      <c r="B26" s="32" t="inlineStr">
        <is>
          <t>P&amp;L</t>
        </is>
      </c>
      <c r="C26" s="32" t="inlineStr">
        <is>
          <t>cogs</t>
        </is>
      </c>
      <c r="D26" s="32" t="inlineStr">
        <is>
          <t>Both</t>
        </is>
      </c>
      <c r="E26" s="32" t="inlineStr">
        <is>
          <t>D-011</t>
        </is>
      </c>
      <c r="F26" s="32" t="inlineStr">
        <is>
          <t>The most contested line in the taxonomy</t>
        </is>
      </c>
    </row>
    <row r="27" ht="15" customHeight="1" s="25">
      <c r="A27" s="32" t="inlineStr">
        <is>
          <t>cogs.fulfilment</t>
        </is>
      </c>
      <c r="B27" s="32" t="inlineStr">
        <is>
          <t>P&amp;L</t>
        </is>
      </c>
      <c r="C27" s="32" t="inlineStr">
        <is>
          <t>cogs</t>
        </is>
      </c>
      <c r="D27" s="32" t="inlineStr">
        <is>
          <t>Consumer</t>
        </is>
      </c>
      <c r="E27" s="32" t="inlineStr">
        <is>
          <t>D-020</t>
        </is>
      </c>
      <c r="F27" s="32" t="inlineStr">
        <is>
          <t>Warehousing and pick-pack</t>
        </is>
      </c>
    </row>
    <row r="28" ht="15" customHeight="1" s="25">
      <c r="A28" s="32" t="inlineStr">
        <is>
          <t>cogs.payment_fees</t>
        </is>
      </c>
      <c r="B28" s="32" t="inlineStr">
        <is>
          <t>P&amp;L</t>
        </is>
      </c>
      <c r="C28" s="32" t="inlineStr">
        <is>
          <t>cogs</t>
        </is>
      </c>
      <c r="D28" s="32" t="inlineStr">
        <is>
          <t>Consumer</t>
        </is>
      </c>
      <c r="E28" s="32" t="inlineStr">
        <is>
          <t>D-014</t>
        </is>
      </c>
      <c r="F28" s="32" t="inlineStr">
        <is>
          <t>Gateway and COD</t>
        </is>
      </c>
    </row>
    <row r="29" ht="15" customHeight="1" s="25">
      <c r="A29" s="32" t="inlineStr">
        <is>
          <t>cogs.stock_adjustment</t>
        </is>
      </c>
      <c r="B29" s="32" t="inlineStr">
        <is>
          <t>P&amp;L</t>
        </is>
      </c>
      <c r="C29" s="32" t="inlineStr">
        <is>
          <t>cogs</t>
        </is>
      </c>
      <c r="D29" s="32" t="inlineStr">
        <is>
          <t>Both</t>
        </is>
      </c>
      <c r="E29" s="32" t="inlineStr">
        <is>
          <t>D-019</t>
        </is>
      </c>
      <c r="F29" s="32" t="inlineStr">
        <is>
          <t>Physical vs book, write-downs</t>
        </is>
      </c>
    </row>
    <row r="30" ht="15" customHeight="1" s="25">
      <c r="A30" s="33" t="inlineStr">
        <is>
          <t>cogs.absorption_variance</t>
        </is>
      </c>
      <c r="B30" s="34" t="inlineStr">
        <is>
          <t>P&amp;L</t>
        </is>
      </c>
      <c r="C30" s="34" t="inlineStr">
        <is>
          <t>cogs</t>
        </is>
      </c>
      <c r="D30" s="34" t="inlineStr">
        <is>
          <t>Manufacturing</t>
        </is>
      </c>
      <c r="E30" s="34" t="inlineStr">
        <is>
          <t>D-017</t>
        </is>
      </c>
      <c r="F30" s="34" t="inlineStr">
        <is>
          <t>JUDGEMENT CLASS</t>
        </is>
      </c>
    </row>
    <row r="31" ht="15" customHeight="1" s="25">
      <c r="A31" s="32" t="inlineStr">
        <is>
          <t>opex.employee_cost</t>
        </is>
      </c>
      <c r="B31" s="32" t="inlineStr">
        <is>
          <t>P&amp;L</t>
        </is>
      </c>
      <c r="C31" s="32" t="inlineStr">
        <is>
          <t>opex</t>
        </is>
      </c>
      <c r="D31" s="32" t="inlineStr">
        <is>
          <t>Both</t>
        </is>
      </c>
      <c r="E31" s="32" t="n"/>
      <c r="F31" s="32" t="n"/>
    </row>
    <row r="32" ht="15" customHeight="1" s="25">
      <c r="A32" s="32" t="inlineStr">
        <is>
          <t>opex.rent</t>
        </is>
      </c>
      <c r="B32" s="32" t="inlineStr">
        <is>
          <t>P&amp;L</t>
        </is>
      </c>
      <c r="C32" s="32" t="inlineStr">
        <is>
          <t>opex</t>
        </is>
      </c>
      <c r="D32" s="32" t="inlineStr">
        <is>
          <t>Both</t>
        </is>
      </c>
      <c r="E32" s="32" t="inlineStr">
        <is>
          <t>D-026</t>
        </is>
      </c>
      <c r="F32" s="32" t="n"/>
    </row>
    <row r="33" ht="15" customHeight="1" s="25">
      <c r="A33" s="32" t="inlineStr">
        <is>
          <t>opex.repairs_maintenance</t>
        </is>
      </c>
      <c r="B33" s="32" t="inlineStr">
        <is>
          <t>P&amp;L</t>
        </is>
      </c>
      <c r="C33" s="32" t="inlineStr">
        <is>
          <t>opex</t>
        </is>
      </c>
      <c r="D33" s="32" t="inlineStr">
        <is>
          <t>Both</t>
        </is>
      </c>
      <c r="E33" s="32" t="n"/>
      <c r="F33" s="32" t="n"/>
    </row>
    <row r="34" ht="15" customHeight="1" s="25">
      <c r="A34" s="32" t="inlineStr">
        <is>
          <t>opex.travel</t>
        </is>
      </c>
      <c r="B34" s="32" t="inlineStr">
        <is>
          <t>P&amp;L</t>
        </is>
      </c>
      <c r="C34" s="32" t="inlineStr">
        <is>
          <t>opex</t>
        </is>
      </c>
      <c r="D34" s="32" t="inlineStr">
        <is>
          <t>Both</t>
        </is>
      </c>
      <c r="E34" s="32" t="n"/>
      <c r="F34" s="32" t="n"/>
    </row>
    <row r="35" ht="15" customHeight="1" s="25">
      <c r="A35" s="32" t="inlineStr">
        <is>
          <t>opex.professional_fees</t>
        </is>
      </c>
      <c r="B35" s="32" t="inlineStr">
        <is>
          <t>P&amp;L</t>
        </is>
      </c>
      <c r="C35" s="32" t="inlineStr">
        <is>
          <t>opex</t>
        </is>
      </c>
      <c r="D35" s="32" t="inlineStr">
        <is>
          <t>Both</t>
        </is>
      </c>
      <c r="E35" s="32" t="n"/>
      <c r="F35" s="32" t="n"/>
    </row>
    <row r="36" ht="15" customHeight="1" s="25">
      <c r="A36" s="32" t="inlineStr">
        <is>
          <t>opex.marketing_advertising</t>
        </is>
      </c>
      <c r="B36" s="32" t="inlineStr">
        <is>
          <t>P&amp;L</t>
        </is>
      </c>
      <c r="C36" s="32" t="inlineStr">
        <is>
          <t>opex</t>
        </is>
      </c>
      <c r="D36" s="32" t="inlineStr">
        <is>
          <t>Both</t>
        </is>
      </c>
      <c r="E36" s="32" t="inlineStr">
        <is>
          <t>D-023</t>
        </is>
      </c>
      <c r="F36" s="32" t="inlineStr">
        <is>
          <t>Variable or fixed for consumer</t>
        </is>
      </c>
    </row>
    <row r="37" ht="15" customHeight="1" s="25">
      <c r="A37" s="32" t="inlineStr">
        <is>
          <t>opex.selling_distribution</t>
        </is>
      </c>
      <c r="B37" s="32" t="inlineStr">
        <is>
          <t>P&amp;L</t>
        </is>
      </c>
      <c r="C37" s="32" t="inlineStr">
        <is>
          <t>opex</t>
        </is>
      </c>
      <c r="D37" s="32" t="inlineStr">
        <is>
          <t>Both</t>
        </is>
      </c>
      <c r="E37" s="32" t="n"/>
      <c r="F37" s="32" t="n"/>
    </row>
    <row r="38" ht="15" customHeight="1" s="25">
      <c r="A38" s="24" t="inlineStr">
        <is>
          <t>opex.store_rent</t>
        </is>
      </c>
      <c r="B38" s="24" t="inlineStr">
        <is>
          <t>P&amp;L</t>
        </is>
      </c>
      <c r="C38" s="24" t="inlineStr">
        <is>
          <t>opex</t>
        </is>
      </c>
      <c r="D38" s="24" t="inlineStr">
        <is>
          <t>Consumer</t>
        </is>
      </c>
      <c r="E38" s="24" t="inlineStr">
        <is>
          <t>D-060</t>
        </is>
      </c>
      <c r="F38" s="24" t="inlineStr">
        <is>
          <t>Retail store rent, CAM and HVAC -- offline manpower/rent per D-060 sits in the CM1 operating-cost rung, not COGS or marketing. Added 2026-08-24 for the apparel forecasting build (corpus/13).</t>
        </is>
      </c>
    </row>
    <row r="39" ht="15" customHeight="1" s="25">
      <c r="A39" s="24" t="inlineStr">
        <is>
          <t>opex.store_personnel</t>
        </is>
      </c>
      <c r="B39" s="24" t="inlineStr">
        <is>
          <t>P&amp;L</t>
        </is>
      </c>
      <c r="C39" s="24" t="inlineStr">
        <is>
          <t>opex</t>
        </is>
      </c>
      <c r="D39" s="24" t="inlineStr">
        <is>
          <t>Consumer</t>
        </is>
      </c>
      <c r="E39" s="24" t="inlineStr">
        <is>
          <t>D-060</t>
        </is>
      </c>
      <c r="F39" s="24" t="inlineStr">
        <is>
          <t>Retail store-level personnel cost (store staff), distinct from opex.employee_cost (head office). D-060: offline manpower sits in the CM1 operating-cost rung. Added 2026-08-24, corpus/13.</t>
        </is>
      </c>
    </row>
    <row r="40" ht="15" customHeight="1" s="25">
      <c r="A40" s="24" t="inlineStr">
        <is>
          <t>opex.franchise_commission</t>
        </is>
      </c>
      <c r="B40" s="24" t="inlineStr">
        <is>
          <t>P&amp;L</t>
        </is>
      </c>
      <c r="C40" s="24" t="inlineStr">
        <is>
          <t>opex</t>
        </is>
      </c>
      <c r="D40" s="24" t="inlineStr">
        <is>
          <t>Consumer</t>
        </is>
      </c>
      <c r="E40" s="24" t="inlineStr">
        <is>
          <t>D-060</t>
        </is>
      </c>
      <c r="F40" s="24" t="inlineStr">
        <is>
          <t>Commission paid to franchise partners operating COFO/FOFO stores -- a store-level operating cost, not COGS (it is not paid to a supplier of goods) and not marketing. Treated the same as offline manpower/rent per D-060's CM1 operating-cost rung. Added 2026-08-24, corpus/13.</t>
        </is>
      </c>
    </row>
    <row r="41" ht="15" customHeight="1" s="25">
      <c r="A41" s="32" t="inlineStr">
        <is>
          <t>opex.admin_general</t>
        </is>
      </c>
      <c r="B41" s="32" t="inlineStr">
        <is>
          <t>P&amp;L</t>
        </is>
      </c>
      <c r="C41" s="32" t="inlineStr">
        <is>
          <t>opex</t>
        </is>
      </c>
      <c r="D41" s="32" t="inlineStr">
        <is>
          <t>Both</t>
        </is>
      </c>
      <c r="E41" s="32" t="n"/>
      <c r="F41" s="32" t="n"/>
    </row>
    <row r="42" ht="15" customHeight="1" s="25">
      <c r="A42" s="32" t="inlineStr">
        <is>
          <t>opex.insurance</t>
        </is>
      </c>
      <c r="B42" s="32" t="inlineStr">
        <is>
          <t>P&amp;L</t>
        </is>
      </c>
      <c r="C42" s="32" t="inlineStr">
        <is>
          <t>opex</t>
        </is>
      </c>
      <c r="D42" s="32" t="inlineStr">
        <is>
          <t>Both</t>
        </is>
      </c>
      <c r="E42" s="32" t="n"/>
      <c r="F42" s="32" t="n"/>
    </row>
    <row r="43" ht="15" customHeight="1" s="25">
      <c r="A43" s="32" t="inlineStr">
        <is>
          <t>opex.rates_taxes</t>
        </is>
      </c>
      <c r="B43" s="32" t="inlineStr">
        <is>
          <t>P&amp;L</t>
        </is>
      </c>
      <c r="C43" s="32" t="inlineStr">
        <is>
          <t>opex</t>
        </is>
      </c>
      <c r="D43" s="32" t="inlineStr">
        <is>
          <t>Both</t>
        </is>
      </c>
      <c r="E43" s="32" t="n"/>
      <c r="F43" s="32" t="n"/>
    </row>
    <row r="44" ht="15" customHeight="1" s="25">
      <c r="A44" s="32" t="inlineStr">
        <is>
          <t>opex.provision_baddebt</t>
        </is>
      </c>
      <c r="B44" s="32" t="inlineStr">
        <is>
          <t>P&amp;L</t>
        </is>
      </c>
      <c r="C44" s="32" t="inlineStr">
        <is>
          <t>opex</t>
        </is>
      </c>
      <c r="D44" s="32" t="inlineStr">
        <is>
          <t>Both</t>
        </is>
      </c>
      <c r="E44" s="32" t="n"/>
      <c r="F44" s="32" t="n"/>
    </row>
    <row r="45" ht="15" customHeight="1" s="25">
      <c r="A45" s="32" t="inlineStr">
        <is>
          <t>opex.csr_donation</t>
        </is>
      </c>
      <c r="B45" s="32" t="inlineStr">
        <is>
          <t>P&amp;L</t>
        </is>
      </c>
      <c r="C45" s="32" t="inlineStr">
        <is>
          <t>opex</t>
        </is>
      </c>
      <c r="D45" s="32" t="inlineStr">
        <is>
          <t>Both</t>
        </is>
      </c>
      <c r="E45" s="32" t="inlineStr">
        <is>
          <t>D-027</t>
        </is>
      </c>
      <c r="F45" s="32" t="n"/>
    </row>
    <row r="46" ht="15" customHeight="1" s="25">
      <c r="A46" s="33" t="inlineStr">
        <is>
          <t>opex.owner_remuneration</t>
        </is>
      </c>
      <c r="B46" s="34" t="inlineStr">
        <is>
          <t>P&amp;L</t>
        </is>
      </c>
      <c r="C46" s="34" t="inlineStr">
        <is>
          <t>opex</t>
        </is>
      </c>
      <c r="D46" s="34" t="inlineStr">
        <is>
          <t>Both</t>
        </is>
      </c>
      <c r="E46" s="34" t="inlineStr">
        <is>
          <t>D-021</t>
        </is>
      </c>
      <c r="F46" s="34" t="inlineStr">
        <is>
          <t>JUDGEMENT CLASS. Exists so add-backs are computable</t>
        </is>
      </c>
    </row>
    <row r="47" ht="15" customHeight="1" s="25">
      <c r="A47" s="33" t="inlineStr">
        <is>
          <t>opex.related_party_charges</t>
        </is>
      </c>
      <c r="B47" s="34" t="inlineStr">
        <is>
          <t>P&amp;L</t>
        </is>
      </c>
      <c r="C47" s="34" t="inlineStr">
        <is>
          <t>opex</t>
        </is>
      </c>
      <c r="D47" s="34" t="inlineStr">
        <is>
          <t>Both</t>
        </is>
      </c>
      <c r="E47" s="34" t="inlineStr">
        <is>
          <t>D-022</t>
        </is>
      </c>
      <c r="F47" s="34" t="inlineStr">
        <is>
          <t>JUDGEMENT CLASS</t>
        </is>
      </c>
    </row>
    <row r="48" ht="15" customHeight="1" s="25">
      <c r="A48" s="32" t="inlineStr">
        <is>
          <t>opex.other</t>
        </is>
      </c>
      <c r="B48" s="32" t="inlineStr">
        <is>
          <t>P&amp;L</t>
        </is>
      </c>
      <c r="C48" s="32" t="inlineStr">
        <is>
          <t>opex</t>
        </is>
      </c>
      <c r="D48" s="32" t="inlineStr">
        <is>
          <t>Both</t>
        </is>
      </c>
      <c r="E48" s="32" t="n"/>
      <c r="F48" s="32" t="n"/>
    </row>
    <row r="49" ht="15" customHeight="1" s="25">
      <c r="A49" s="32" t="inlineStr">
        <is>
          <t>da.depreciation</t>
        </is>
      </c>
      <c r="B49" s="32" t="inlineStr">
        <is>
          <t>P&amp;L</t>
        </is>
      </c>
      <c r="C49" s="32" t="inlineStr">
        <is>
          <t>da</t>
        </is>
      </c>
      <c r="D49" s="32" t="inlineStr">
        <is>
          <t>Both</t>
        </is>
      </c>
      <c r="E49" s="32" t="n"/>
      <c r="F49" s="32" t="n"/>
    </row>
    <row r="50" ht="15" customHeight="1" s="25">
      <c r="A50" s="32" t="inlineStr">
        <is>
          <t>da.amortisation</t>
        </is>
      </c>
      <c r="B50" s="32" t="inlineStr">
        <is>
          <t>P&amp;L</t>
        </is>
      </c>
      <c r="C50" s="32" t="inlineStr">
        <is>
          <t>da</t>
        </is>
      </c>
      <c r="D50" s="32" t="inlineStr">
        <is>
          <t>Both</t>
        </is>
      </c>
      <c r="E50" s="32" t="n"/>
      <c r="F50" s="32" t="n"/>
    </row>
    <row r="51" ht="15" customHeight="1" s="25">
      <c r="A51" s="32" t="inlineStr">
        <is>
          <t>finance_cost.interest_debt</t>
        </is>
      </c>
      <c r="B51" s="32" t="inlineStr">
        <is>
          <t>P&amp;L</t>
        </is>
      </c>
      <c r="C51" s="32" t="inlineStr">
        <is>
          <t>interest_expense</t>
        </is>
      </c>
      <c r="D51" s="32" t="inlineStr">
        <is>
          <t>Both</t>
        </is>
      </c>
      <c r="E51" s="32" t="n"/>
      <c r="F51" s="32" t="n"/>
    </row>
    <row r="52" ht="15" customHeight="1" s="25">
      <c r="A52" s="32" t="inlineStr">
        <is>
          <t>finance_cost.bank_charges</t>
        </is>
      </c>
      <c r="B52" s="32" t="inlineStr">
        <is>
          <t>P&amp;L</t>
        </is>
      </c>
      <c r="C52" s="32" t="inlineStr">
        <is>
          <t>interest_expense</t>
        </is>
      </c>
      <c r="D52" s="32" t="inlineStr">
        <is>
          <t>Both</t>
        </is>
      </c>
      <c r="E52" s="32" t="n"/>
      <c r="F52" s="32" t="n"/>
    </row>
    <row r="53" ht="15" customHeight="1" s="25">
      <c r="A53" s="32" t="inlineStr">
        <is>
          <t>finance_cost.interest_other</t>
        </is>
      </c>
      <c r="B53" s="32" t="inlineStr">
        <is>
          <t>P&amp;L</t>
        </is>
      </c>
      <c r="C53" s="32" t="inlineStr">
        <is>
          <t>interest_expense</t>
        </is>
      </c>
      <c r="D53" s="32" t="inlineStr">
        <is>
          <t>Both</t>
        </is>
      </c>
      <c r="E53" s="32" t="n"/>
      <c r="F53" s="32" t="n"/>
    </row>
    <row r="54" ht="15" customHeight="1" s="25">
      <c r="A54" s="32" t="inlineStr">
        <is>
          <t>other_income.interest_income</t>
        </is>
      </c>
      <c r="B54" s="32" t="inlineStr">
        <is>
          <t>P&amp;L</t>
        </is>
      </c>
      <c r="C54" s="32" t="inlineStr">
        <is>
          <t>other_income</t>
        </is>
      </c>
      <c r="D54" s="32" t="inlineStr">
        <is>
          <t>Both</t>
        </is>
      </c>
      <c r="E54" s="32" t="inlineStr">
        <is>
          <t>D-025</t>
        </is>
      </c>
      <c r="F54" s="32" t="n"/>
    </row>
    <row r="55" ht="15" customHeight="1" s="25">
      <c r="A55" s="32" t="inlineStr">
        <is>
          <t>other_income.fx_gain</t>
        </is>
      </c>
      <c r="B55" s="32" t="inlineStr">
        <is>
          <t>P&amp;L</t>
        </is>
      </c>
      <c r="C55" s="32" t="inlineStr">
        <is>
          <t>other_income</t>
        </is>
      </c>
      <c r="D55" s="32" t="inlineStr">
        <is>
          <t>Both</t>
        </is>
      </c>
      <c r="E55" s="32" t="inlineStr">
        <is>
          <t>D-008</t>
        </is>
      </c>
      <c r="F55" s="32" t="n"/>
    </row>
    <row r="56" ht="15" customHeight="1" s="25">
      <c r="A56" s="32" t="inlineStr">
        <is>
          <t>other_income.misc_income</t>
        </is>
      </c>
      <c r="B56" s="32" t="inlineStr">
        <is>
          <t>P&amp;L</t>
        </is>
      </c>
      <c r="C56" s="32" t="inlineStr">
        <is>
          <t>other_income</t>
        </is>
      </c>
      <c r="D56" s="32" t="inlineStr">
        <is>
          <t>Both</t>
        </is>
      </c>
      <c r="E56" s="32" t="inlineStr">
        <is>
          <t>D-025</t>
        </is>
      </c>
      <c r="F56" s="32" t="n"/>
    </row>
    <row r="57" ht="15" customHeight="1" s="25">
      <c r="A57" s="32" t="inlineStr">
        <is>
          <t>tax.current</t>
        </is>
      </c>
      <c r="B57" s="32" t="inlineStr">
        <is>
          <t>P&amp;L</t>
        </is>
      </c>
      <c r="C57" s="32" t="inlineStr">
        <is>
          <t>tax_expense</t>
        </is>
      </c>
      <c r="D57" s="32" t="inlineStr">
        <is>
          <t>Both</t>
        </is>
      </c>
      <c r="E57" s="32" t="n"/>
      <c r="F57" s="32" t="n"/>
    </row>
    <row r="58" ht="15" customHeight="1" s="25">
      <c r="A58" s="32" t="inlineStr">
        <is>
          <t>tax.deferred</t>
        </is>
      </c>
      <c r="B58" s="32" t="inlineStr">
        <is>
          <t>P&amp;L</t>
        </is>
      </c>
      <c r="C58" s="32" t="inlineStr">
        <is>
          <t>tax_expense</t>
        </is>
      </c>
      <c r="D58" s="32" t="inlineStr">
        <is>
          <t>Both</t>
        </is>
      </c>
      <c r="E58" s="32" t="n"/>
      <c r="F58" s="32" t="n"/>
    </row>
    <row r="59" ht="15" customHeight="1" s="25">
      <c r="A59" s="33" t="inlineStr">
        <is>
          <t>exceptional.one_off</t>
        </is>
      </c>
      <c r="B59" s="34" t="inlineStr">
        <is>
          <t>P&amp;L</t>
        </is>
      </c>
      <c r="C59" s="34" t="inlineStr">
        <is>
          <t>exceptional</t>
        </is>
      </c>
      <c r="D59" s="34" t="inlineStr">
        <is>
          <t>Both</t>
        </is>
      </c>
      <c r="E59" s="34" t="inlineStr">
        <is>
          <t>D-024</t>
        </is>
      </c>
      <c r="F59" s="34" t="inlineStr">
        <is>
          <t>JUDGEMENT CLASS. Never auto-accepted</t>
        </is>
      </c>
    </row>
    <row r="60" ht="15" customHeight="1" s="25">
      <c r="A60" s="32" t="inlineStr">
        <is>
          <t>asset.cash_bank</t>
        </is>
      </c>
      <c r="B60" s="32" t="inlineStr">
        <is>
          <t>BS</t>
        </is>
      </c>
      <c r="C60" s="32" t="inlineStr">
        <is>
          <t>cash</t>
        </is>
      </c>
      <c r="D60" s="32" t="inlineStr">
        <is>
          <t>Both</t>
        </is>
      </c>
      <c r="E60" s="32" t="inlineStr">
        <is>
          <t>D-034</t>
        </is>
      </c>
      <c r="F60" s="32" t="n"/>
    </row>
    <row r="61" ht="15" customHeight="1" s="25">
      <c r="A61" s="32" t="inlineStr">
        <is>
          <t>asset.cash_restricted</t>
        </is>
      </c>
      <c r="B61" s="32" t="inlineStr">
        <is>
          <t>BS</t>
        </is>
      </c>
      <c r="C61" s="32" t="inlineStr">
        <is>
          <t>restricted_cash</t>
        </is>
      </c>
      <c r="D61" s="32" t="inlineStr">
        <is>
          <t>Both</t>
        </is>
      </c>
      <c r="E61" s="32" t="inlineStr">
        <is>
          <t>D-034</t>
        </is>
      </c>
      <c r="F61" s="32" t="inlineStr">
        <is>
          <t>Margin money, lien-marked deposits</t>
        </is>
      </c>
    </row>
    <row r="62" ht="15" customHeight="1" s="25">
      <c r="A62" s="32" t="inlineStr">
        <is>
          <t>asset.trade_receivable</t>
        </is>
      </c>
      <c r="B62" s="32" t="inlineStr">
        <is>
          <t>BS</t>
        </is>
      </c>
      <c r="C62" s="32" t="inlineStr">
        <is>
          <t>accounts_receivable</t>
        </is>
      </c>
      <c r="D62" s="32" t="inlineStr">
        <is>
          <t>Both</t>
        </is>
      </c>
      <c r="E62" s="32" t="inlineStr">
        <is>
          <t>D-029</t>
        </is>
      </c>
      <c r="F62" s="32" t="n"/>
    </row>
    <row r="63" ht="15" customHeight="1" s="25">
      <c r="A63" s="32" t="inlineStr">
        <is>
          <t>asset.inventory_rm</t>
        </is>
      </c>
      <c r="B63" s="32" t="inlineStr">
        <is>
          <t>BS</t>
        </is>
      </c>
      <c r="C63" s="32" t="inlineStr">
        <is>
          <t>inventory</t>
        </is>
      </c>
      <c r="D63" s="32" t="inlineStr">
        <is>
          <t>Manufacturing</t>
        </is>
      </c>
      <c r="E63" s="32" t="inlineStr">
        <is>
          <t>D-018</t>
        </is>
      </c>
      <c r="F63" s="32" t="n"/>
    </row>
    <row r="64" ht="15" customHeight="1" s="25">
      <c r="A64" s="32" t="inlineStr">
        <is>
          <t>asset.inventory_wip</t>
        </is>
      </c>
      <c r="B64" s="32" t="inlineStr">
        <is>
          <t>BS</t>
        </is>
      </c>
      <c r="C64" s="32" t="inlineStr">
        <is>
          <t>inventory</t>
        </is>
      </c>
      <c r="D64" s="32" t="inlineStr">
        <is>
          <t>Manufacturing</t>
        </is>
      </c>
      <c r="E64" s="32" t="inlineStr">
        <is>
          <t>D-044</t>
        </is>
      </c>
      <c r="F64" s="32" t="n"/>
    </row>
    <row r="65" ht="15" customHeight="1" s="25">
      <c r="A65" s="32" t="inlineStr">
        <is>
          <t>asset.inventory_fg</t>
        </is>
      </c>
      <c r="B65" s="32" t="inlineStr">
        <is>
          <t>BS</t>
        </is>
      </c>
      <c r="C65" s="32" t="inlineStr">
        <is>
          <t>inventory</t>
        </is>
      </c>
      <c r="D65" s="32" t="inlineStr">
        <is>
          <t>Both</t>
        </is>
      </c>
      <c r="E65" s="32" t="inlineStr">
        <is>
          <t>D-018</t>
        </is>
      </c>
      <c r="F65" s="32" t="n"/>
    </row>
    <row r="66" ht="15" customHeight="1" s="25">
      <c r="A66" s="32" t="inlineStr">
        <is>
          <t>asset.inventory_packing_stores</t>
        </is>
      </c>
      <c r="B66" s="32" t="inlineStr">
        <is>
          <t>BS</t>
        </is>
      </c>
      <c r="C66" s="32" t="inlineStr">
        <is>
          <t>inventory</t>
        </is>
      </c>
      <c r="D66" s="32" t="inlineStr">
        <is>
          <t>Manufacturing</t>
        </is>
      </c>
      <c r="E66" s="32" t="n"/>
      <c r="F66" s="32" t="n"/>
    </row>
    <row r="67" ht="15" customHeight="1" s="25">
      <c r="A67" s="32" t="inlineStr">
        <is>
          <t>asset.advance_supplier</t>
        </is>
      </c>
      <c r="B67" s="32" t="inlineStr">
        <is>
          <t>BS</t>
        </is>
      </c>
      <c r="C67" s="32" t="inlineStr">
        <is>
          <t>other_current_assets</t>
        </is>
      </c>
      <c r="D67" s="32" t="inlineStr">
        <is>
          <t>Both</t>
        </is>
      </c>
      <c r="E67" s="32" t="n"/>
      <c r="F67" s="32" t="n"/>
    </row>
    <row r="68" ht="15" customHeight="1" s="25">
      <c r="A68" s="32" t="inlineStr">
        <is>
          <t>asset.prepaid</t>
        </is>
      </c>
      <c r="B68" s="32" t="inlineStr">
        <is>
          <t>BS</t>
        </is>
      </c>
      <c r="C68" s="32" t="inlineStr">
        <is>
          <t>other_current_assets</t>
        </is>
      </c>
      <c r="D68" s="32" t="inlineStr">
        <is>
          <t>Both</t>
        </is>
      </c>
      <c r="E68" s="32" t="n"/>
      <c r="F68" s="32" t="n"/>
    </row>
    <row r="69" ht="15" customHeight="1" s="25">
      <c r="A69" s="32" t="inlineStr">
        <is>
          <t>asset.statutory_receivable</t>
        </is>
      </c>
      <c r="B69" s="32" t="inlineStr">
        <is>
          <t>BS</t>
        </is>
      </c>
      <c r="C69" s="32" t="inlineStr">
        <is>
          <t>other_current_assets</t>
        </is>
      </c>
      <c r="D69" s="32" t="inlineStr">
        <is>
          <t>Both</t>
        </is>
      </c>
      <c r="E69" s="32" t="n"/>
      <c r="F69" s="32" t="inlineStr">
        <is>
          <t>GST input credit, TDS receivable</t>
        </is>
      </c>
    </row>
    <row r="70" ht="15" customHeight="1" s="25">
      <c r="A70" s="32" t="inlineStr">
        <is>
          <t>asset.loans_advances</t>
        </is>
      </c>
      <c r="B70" s="32" t="inlineStr">
        <is>
          <t>BS</t>
        </is>
      </c>
      <c r="C70" s="32" t="inlineStr">
        <is>
          <t>other_current_assets</t>
        </is>
      </c>
      <c r="D70" s="32" t="inlineStr">
        <is>
          <t>Both</t>
        </is>
      </c>
      <c r="E70" s="32" t="n"/>
      <c r="F70" s="32" t="n"/>
    </row>
    <row r="71" ht="15" customHeight="1" s="25">
      <c r="A71" s="32" t="inlineStr">
        <is>
          <t>asset.deposit</t>
        </is>
      </c>
      <c r="B71" s="32" t="inlineStr">
        <is>
          <t>BS</t>
        </is>
      </c>
      <c r="C71" s="32" t="inlineStr">
        <is>
          <t>other_current_assets</t>
        </is>
      </c>
      <c r="D71" s="32" t="inlineStr">
        <is>
          <t>Both</t>
        </is>
      </c>
      <c r="E71" s="32" t="n"/>
      <c r="F71" s="32" t="n"/>
    </row>
    <row r="72" ht="15" customHeight="1" s="25">
      <c r="A72" s="32" t="inlineStr">
        <is>
          <t>asset.investment</t>
        </is>
      </c>
      <c r="B72" s="32" t="inlineStr">
        <is>
          <t>BS</t>
        </is>
      </c>
      <c r="C72" s="32" t="inlineStr">
        <is>
          <t>other_current_assets</t>
        </is>
      </c>
      <c r="D72" s="32" t="inlineStr">
        <is>
          <t>Both</t>
        </is>
      </c>
      <c r="E72" s="32" t="n"/>
      <c r="F72" s="32" t="n"/>
    </row>
    <row r="73" ht="15" customHeight="1" s="25">
      <c r="A73" s="32" t="inlineStr">
        <is>
          <t>asset.fixed_asset_gross</t>
        </is>
      </c>
      <c r="B73" s="32" t="inlineStr">
        <is>
          <t>BS</t>
        </is>
      </c>
      <c r="C73" s="32" t="inlineStr">
        <is>
          <t>fixed_assets_net</t>
        </is>
      </c>
      <c r="D73" s="32" t="inlineStr">
        <is>
          <t>Both</t>
        </is>
      </c>
      <c r="E73" s="32" t="n"/>
      <c r="F73" s="32" t="n"/>
    </row>
    <row r="74" ht="15" customHeight="1" s="25">
      <c r="A74" s="32" t="inlineStr">
        <is>
          <t>asset.accumulated_depreciation</t>
        </is>
      </c>
      <c r="B74" s="32" t="inlineStr">
        <is>
          <t>BS</t>
        </is>
      </c>
      <c r="C74" s="32" t="inlineStr">
        <is>
          <t>fixed_assets_net</t>
        </is>
      </c>
      <c r="D74" s="32" t="inlineStr">
        <is>
          <t>Both</t>
        </is>
      </c>
      <c r="E74" s="32" t="n"/>
      <c r="F74" s="32" t="n"/>
    </row>
    <row r="75" ht="15" customHeight="1" s="25">
      <c r="A75" s="32" t="inlineStr">
        <is>
          <t>asset.capital_wip</t>
        </is>
      </c>
      <c r="B75" s="32" t="inlineStr">
        <is>
          <t>BS</t>
        </is>
      </c>
      <c r="C75" s="32" t="inlineStr">
        <is>
          <t>fixed_assets_net</t>
        </is>
      </c>
      <c r="D75" s="32" t="inlineStr">
        <is>
          <t>Both</t>
        </is>
      </c>
      <c r="E75" s="32" t="inlineStr">
        <is>
          <t>D-037</t>
        </is>
      </c>
      <c r="F75" s="32" t="n"/>
    </row>
    <row r="76" ht="15" customHeight="1" s="25">
      <c r="A76" s="32" t="inlineStr">
        <is>
          <t>liability.trade_payable</t>
        </is>
      </c>
      <c r="B76" s="32" t="inlineStr">
        <is>
          <t>BS</t>
        </is>
      </c>
      <c r="C76" s="32" t="inlineStr">
        <is>
          <t>accounts_payable</t>
        </is>
      </c>
      <c r="D76" s="32" t="inlineStr">
        <is>
          <t>Both</t>
        </is>
      </c>
      <c r="E76" s="32" t="n"/>
      <c r="F76" s="32" t="n"/>
    </row>
    <row r="77" ht="15" customHeight="1" s="25">
      <c r="A77" s="32" t="inlineStr">
        <is>
          <t>liability.advance_customer</t>
        </is>
      </c>
      <c r="B77" s="32" t="inlineStr">
        <is>
          <t>BS</t>
        </is>
      </c>
      <c r="C77" s="32" t="inlineStr">
        <is>
          <t>other_current_liabilities</t>
        </is>
      </c>
      <c r="D77" s="32" t="inlineStr">
        <is>
          <t>Both</t>
        </is>
      </c>
      <c r="E77" s="32" t="inlineStr">
        <is>
          <t>D-032</t>
        </is>
      </c>
      <c r="F77" s="32" t="n"/>
    </row>
    <row r="78" ht="15" customHeight="1" s="25">
      <c r="A78" s="32" t="inlineStr">
        <is>
          <t>liability.statutory_payable</t>
        </is>
      </c>
      <c r="B78" s="32" t="inlineStr">
        <is>
          <t>BS</t>
        </is>
      </c>
      <c r="C78" s="32" t="inlineStr">
        <is>
          <t>other_current_liabilities</t>
        </is>
      </c>
      <c r="D78" s="32" t="inlineStr">
        <is>
          <t>Both</t>
        </is>
      </c>
      <c r="E78" s="32" t="n"/>
      <c r="F78" s="32" t="n"/>
    </row>
    <row r="79" ht="15" customHeight="1" s="25">
      <c r="A79" s="32" t="inlineStr">
        <is>
          <t>liability.employee_payable</t>
        </is>
      </c>
      <c r="B79" s="32" t="inlineStr">
        <is>
          <t>BS</t>
        </is>
      </c>
      <c r="C79" s="32" t="inlineStr">
        <is>
          <t>other_current_liabilities</t>
        </is>
      </c>
      <c r="D79" s="32" t="inlineStr">
        <is>
          <t>Both</t>
        </is>
      </c>
      <c r="E79" s="32" t="n"/>
      <c r="F79" s="32" t="n"/>
    </row>
    <row r="80" ht="15" customHeight="1" s="25">
      <c r="A80" s="32" t="inlineStr">
        <is>
          <t>liability.provision</t>
        </is>
      </c>
      <c r="B80" s="32" t="inlineStr">
        <is>
          <t>BS</t>
        </is>
      </c>
      <c r="C80" s="32" t="inlineStr">
        <is>
          <t>other_current_liabilities</t>
        </is>
      </c>
      <c r="D80" s="32" t="inlineStr">
        <is>
          <t>Both</t>
        </is>
      </c>
      <c r="E80" s="32" t="n"/>
      <c r="F80" s="32" t="n"/>
    </row>
    <row r="81" ht="23.85" customHeight="1" s="25">
      <c r="A81" s="32" t="inlineStr">
        <is>
          <t>liability.debt_term</t>
        </is>
      </c>
      <c r="B81" s="32" t="inlineStr">
        <is>
          <t>BS</t>
        </is>
      </c>
      <c r="C81" s="32" t="inlineStr">
        <is>
          <t>debt</t>
        </is>
      </c>
      <c r="D81" s="32" t="inlineStr">
        <is>
          <t>Both</t>
        </is>
      </c>
      <c r="E81" s="32" t="inlineStr">
        <is>
          <t>D-035</t>
        </is>
      </c>
      <c r="F81" s="32" t="n"/>
    </row>
    <row r="82" ht="15" customHeight="1" s="25">
      <c r="A82" s="32" t="inlineStr">
        <is>
          <t>liability.debt_working_capital</t>
        </is>
      </c>
      <c r="B82" s="32" t="inlineStr">
        <is>
          <t>BS</t>
        </is>
      </c>
      <c r="C82" s="32" t="inlineStr">
        <is>
          <t>debt</t>
        </is>
      </c>
      <c r="D82" s="32" t="inlineStr">
        <is>
          <t>Both</t>
        </is>
      </c>
      <c r="E82" s="32" t="inlineStr">
        <is>
          <t>D-035</t>
        </is>
      </c>
      <c r="F82" s="32" t="inlineStr">
        <is>
          <t>CC and OD</t>
        </is>
      </c>
    </row>
    <row r="83" ht="15" customHeight="1" s="25">
      <c r="A83" s="32" t="inlineStr">
        <is>
          <t>liability.debt_current_maturity</t>
        </is>
      </c>
      <c r="B83" s="32" t="inlineStr">
        <is>
          <t>BS</t>
        </is>
      </c>
      <c r="C83" s="32" t="inlineStr">
        <is>
          <t>debt</t>
        </is>
      </c>
      <c r="D83" s="32" t="inlineStr">
        <is>
          <t>Both</t>
        </is>
      </c>
      <c r="E83" s="32" t="inlineStr">
        <is>
          <t>D-035</t>
        </is>
      </c>
      <c r="F83" s="32" t="n"/>
    </row>
    <row r="84" ht="15" customHeight="1" s="25">
      <c r="A84" s="33" t="inlineStr">
        <is>
          <t>liability.debt_related_party</t>
        </is>
      </c>
      <c r="B84" s="34" t="inlineStr">
        <is>
          <t>BS</t>
        </is>
      </c>
      <c r="C84" s="34" t="inlineStr">
        <is>
          <t>debt</t>
        </is>
      </c>
      <c r="D84" s="34" t="inlineStr">
        <is>
          <t>Both</t>
        </is>
      </c>
      <c r="E84" s="34" t="inlineStr">
        <is>
          <t>D-035</t>
        </is>
      </c>
      <c r="F84" s="34" t="inlineStr">
        <is>
          <t>JUDGEMENT CLASS</t>
        </is>
      </c>
    </row>
    <row r="85" ht="15" customHeight="1" s="25">
      <c r="A85" s="33" t="inlineStr">
        <is>
          <t>liability.bill_discounting</t>
        </is>
      </c>
      <c r="B85" s="34" t="inlineStr">
        <is>
          <t>BS</t>
        </is>
      </c>
      <c r="C85" s="34" t="inlineStr">
        <is>
          <t>debt</t>
        </is>
      </c>
      <c r="D85" s="34" t="inlineStr">
        <is>
          <t>Both</t>
        </is>
      </c>
      <c r="E85" s="34" t="inlineStr">
        <is>
          <t>D-036</t>
        </is>
      </c>
      <c r="F85" s="34" t="inlineStr">
        <is>
          <t>JUDGEMENT CLASS. Separate so D-036 can change without remapping</t>
        </is>
      </c>
    </row>
    <row r="86" ht="15" customHeight="1" s="25">
      <c r="A86" s="32" t="inlineStr">
        <is>
          <t>liability.lease</t>
        </is>
      </c>
      <c r="B86" s="32" t="inlineStr">
        <is>
          <t>BS</t>
        </is>
      </c>
      <c r="C86" s="32" t="inlineStr">
        <is>
          <t>debt</t>
        </is>
      </c>
      <c r="D86" s="32" t="inlineStr">
        <is>
          <t>Both</t>
        </is>
      </c>
      <c r="E86" s="32" t="inlineStr">
        <is>
          <t>D-026</t>
        </is>
      </c>
      <c r="F86" s="32" t="inlineStr">
        <is>
          <t>Blocked by VERIFY[V-001]</t>
        </is>
      </c>
    </row>
    <row r="87">
      <c r="A87" s="32" t="inlineStr">
        <is>
          <t>liability.other_current</t>
        </is>
      </c>
      <c r="B87" s="32" t="inlineStr">
        <is>
          <t>BS</t>
        </is>
      </c>
      <c r="C87" s="32" t="inlineStr">
        <is>
          <t>other_current_liabilities</t>
        </is>
      </c>
      <c r="D87" s="32" t="inlineStr">
        <is>
          <t>Both</t>
        </is>
      </c>
      <c r="E87" s="32" t="n"/>
      <c r="F87" s="32" t="n"/>
    </row>
    <row r="88" ht="15" customHeight="1" s="25">
      <c r="A88" s="32" t="inlineStr">
        <is>
          <t>equity.share_capital</t>
        </is>
      </c>
      <c r="B88" s="32" t="inlineStr">
        <is>
          <t>BS</t>
        </is>
      </c>
      <c r="C88" s="32" t="inlineStr">
        <is>
          <t>equity</t>
        </is>
      </c>
      <c r="D88" s="32" t="inlineStr">
        <is>
          <t>Both</t>
        </is>
      </c>
      <c r="E88" s="32" t="n"/>
      <c r="F88" s="32" t="n"/>
    </row>
    <row r="89">
      <c r="A89" s="32" t="inlineStr">
        <is>
          <t>equity.reserves</t>
        </is>
      </c>
      <c r="B89" s="32" t="inlineStr">
        <is>
          <t>BS</t>
        </is>
      </c>
      <c r="C89" s="32" t="inlineStr">
        <is>
          <t>equity</t>
        </is>
      </c>
      <c r="D89" s="32" t="inlineStr">
        <is>
          <t>Both</t>
        </is>
      </c>
      <c r="E89" s="32" t="n"/>
      <c r="F89" s="32" t="n"/>
    </row>
    <row r="90">
      <c r="A90" s="32" t="inlineStr">
        <is>
          <t>suspense.unmapped</t>
        </is>
      </c>
      <c r="B90" s="32" t="inlineStr">
        <is>
          <t>BS</t>
        </is>
      </c>
      <c r="C90" s="32" t="inlineStr">
        <is>
          <t>unclassified</t>
        </is>
      </c>
      <c r="D90" s="32" t="inlineStr">
        <is>
          <t>Both</t>
        </is>
      </c>
      <c r="E90" s="32" t="inlineStr">
        <is>
          <t>D-053</t>
        </is>
      </c>
      <c r="F90" s="32" t="inlineStr">
        <is>
          <t>Real class with a real balance. Never hidden. OQ-007 resolution, 2026-08-24: shown as its own balance sheet line (was MEMO, excluded from both sides, which made any nonzero suspense balance block the sheet from ever balancing) so the sheet balances by construction and the unmapped amount stays visible in rupees. D-053 still governs when metrics are blocked/badged/silenced by unmapped value.</t>
        </is>
      </c>
    </row>
    <row r="91"/>
    <row r="92">
      <c r="A92" s="35" t="inlineStr">
        <is>
          <t>86 classes. 6 judgement classes.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N905"/>
  <sheetViews>
    <sheetView showFormulas="0" showGridLines="0" showRowColHeaders="1" showZeros="1" rightToLeft="0" tabSelected="0"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24" min="1" max="1"/>
    <col width="40" customWidth="1" style="24" min="2" max="2"/>
    <col width="24" customWidth="1" style="24" min="3" max="3"/>
    <col width="12" customWidth="1" style="24" min="4" max="4"/>
    <col width="16" customWidth="1" style="24" min="5" max="7"/>
    <col width="36" customWidth="1" style="24" min="8" max="8"/>
    <col width="14" customWidth="1" style="24" min="9" max="9"/>
    <col width="12" customWidth="1" style="24" min="10" max="10"/>
    <col width="30" customWidth="1" style="24" min="11" max="11"/>
    <col width="20" customWidth="1" style="24" min="12" max="12"/>
    <col width="14" customWidth="1" style="24" min="13" max="13"/>
    <col width="34" customWidth="1" style="24" min="14" max="14"/>
  </cols>
  <sheetData>
    <row r="1" ht="17.35" customHeight="1" s="25">
      <c r="A1" s="26" t="inlineStr">
        <is>
          <t>Account mapping worksheet</t>
        </is>
      </c>
    </row>
    <row r="2" ht="15" customHeight="1" s="25">
      <c r="A2" s="27" t="inlineStr">
        <is>
          <t>Paste the source chart of accounts into columns A to F. Sort descending by column G. Assign column H from the dropdown. Blue italic row 6 is a synthetic example: delete it.</t>
        </is>
      </c>
    </row>
    <row r="3" ht="15" customHeight="1" s="25">
      <c r="A3" s="35" t="inlineStr">
        <is>
          <t>Company: ________________     Mapping version: 1     Effective from: ____________     Approved by: ________________</t>
        </is>
      </c>
    </row>
    <row r="5" ht="33.75" customHeight="1" s="25">
      <c r="A5" s="31" t="inlineStr">
        <is>
          <t>Source code</t>
        </is>
      </c>
      <c r="B5" s="31" t="inlineStr">
        <is>
          <t>Source account name (verbatim)</t>
        </is>
      </c>
      <c r="C5" s="31" t="inlineStr">
        <is>
          <t>Parent group</t>
        </is>
      </c>
      <c r="D5" s="31" t="inlineStr">
        <is>
          <t>Type</t>
        </is>
      </c>
      <c r="E5" s="31" t="inlineStr">
        <is>
          <t>12m movement (INR)</t>
        </is>
      </c>
      <c r="F5" s="31" t="inlineStr">
        <is>
          <t>Closing balance (INR)</t>
        </is>
      </c>
      <c r="G5" s="31" t="inlineStr">
        <is>
          <t>Value carried (INR)</t>
        </is>
      </c>
      <c r="H5" s="31" t="inlineStr">
        <is>
          <t>Canonical class</t>
        </is>
      </c>
      <c r="I5" s="31" t="inlineStr">
        <is>
          <t>Derived channel</t>
        </is>
      </c>
      <c r="J5" s="31" t="inlineStr">
        <is>
          <t>Derived geo</t>
        </is>
      </c>
      <c r="K5" s="31" t="inlineStr">
        <is>
          <t>Proposal reason</t>
        </is>
      </c>
      <c r="L5" s="31" t="inlineStr">
        <is>
          <t>Approved by</t>
        </is>
      </c>
      <c r="M5" s="31" t="inlineStr">
        <is>
          <t>Approved on</t>
        </is>
      </c>
      <c r="N5" s="31" t="inlineStr">
        <is>
          <t>Reviewer note</t>
        </is>
      </c>
    </row>
    <row r="6" ht="15" customHeight="1" s="25">
      <c r="A6" s="36" t="inlineStr">
        <is>
          <t>4001</t>
        </is>
      </c>
      <c r="B6" s="36" t="inlineStr">
        <is>
          <t>Sales - Retail (Delhi)</t>
        </is>
      </c>
      <c r="C6" s="36" t="inlineStr">
        <is>
          <t>Sales Accounts</t>
        </is>
      </c>
      <c r="D6" s="36" t="inlineStr">
        <is>
          <t>Income</t>
        </is>
      </c>
      <c r="E6" s="37" t="n">
        <v>341200000</v>
      </c>
      <c r="F6" s="37" t="n">
        <v>-52350000</v>
      </c>
      <c r="G6" s="37">
        <f>MAX(ABS(E6),ABS(F6))</f>
        <v/>
      </c>
      <c r="H6" s="36" t="inlineStr">
        <is>
          <t>revenue.product_sales</t>
        </is>
      </c>
      <c r="I6" s="36" t="inlineStr">
        <is>
          <t>retail</t>
        </is>
      </c>
      <c r="J6" s="36" t="inlineStr">
        <is>
          <t>north</t>
        </is>
      </c>
      <c r="K6" s="36" t="inlineStr">
        <is>
          <t>Sits under Sales Accounts, credit balance, movement consistent with a revenue stream</t>
        </is>
      </c>
      <c r="L6" s="36" t="inlineStr">
        <is>
          <t>B Singhal</t>
        </is>
      </c>
      <c r="M6" s="38" t="inlineStr">
        <is>
          <t>2026-08-20</t>
        </is>
      </c>
      <c r="N6" s="36" t="inlineStr">
        <is>
          <t>Channel and geo read from the ledger name</t>
        </is>
      </c>
    </row>
    <row r="7" ht="15" customHeight="1" s="25">
      <c r="E7" s="39" t="n"/>
      <c r="F7" s="39" t="n"/>
      <c r="G7" s="39">
        <f>IF(AND(E7="",F7=""),"",MAX(ABS(E7),ABS(F7)))</f>
        <v/>
      </c>
      <c r="M7" s="40" t="n"/>
    </row>
    <row r="8" ht="15" customHeight="1" s="25">
      <c r="E8" s="39" t="n"/>
      <c r="F8" s="39" t="n"/>
      <c r="G8" s="39">
        <f>IF(AND(E8="",F8=""),"",MAX(ABS(E8),ABS(F8)))</f>
        <v/>
      </c>
      <c r="M8" s="40" t="n"/>
    </row>
    <row r="9" ht="15" customHeight="1" s="25">
      <c r="E9" s="39" t="n"/>
      <c r="F9" s="39" t="n"/>
      <c r="G9" s="39">
        <f>IF(AND(E9="",F9=""),"",MAX(ABS(E9),ABS(F9)))</f>
        <v/>
      </c>
      <c r="M9" s="40" t="n"/>
    </row>
    <row r="10" ht="15" customHeight="1" s="25">
      <c r="E10" s="39" t="n"/>
      <c r="F10" s="39" t="n"/>
      <c r="G10" s="39">
        <f>IF(AND(E10="",F10=""),"",MAX(ABS(E10),ABS(F10)))</f>
        <v/>
      </c>
      <c r="M10" s="40" t="n"/>
    </row>
    <row r="11" ht="15" customHeight="1" s="25">
      <c r="E11" s="39" t="n"/>
      <c r="F11" s="39" t="n"/>
      <c r="G11" s="39">
        <f>IF(AND(E11="",F11=""),"",MAX(ABS(E11),ABS(F11)))</f>
        <v/>
      </c>
      <c r="M11" s="40" t="n"/>
    </row>
    <row r="12" ht="15" customHeight="1" s="25">
      <c r="E12" s="39" t="n"/>
      <c r="F12" s="39" t="n"/>
      <c r="G12" s="39">
        <f>IF(AND(E12="",F12=""),"",MAX(ABS(E12),ABS(F12)))</f>
        <v/>
      </c>
      <c r="M12" s="40" t="n"/>
    </row>
    <row r="13" ht="15" customHeight="1" s="25">
      <c r="E13" s="39" t="n"/>
      <c r="F13" s="39" t="n"/>
      <c r="G13" s="39">
        <f>IF(AND(E13="",F13=""),"",MAX(ABS(E13),ABS(F13)))</f>
        <v/>
      </c>
      <c r="M13" s="40" t="n"/>
    </row>
    <row r="14" ht="15" customHeight="1" s="25">
      <c r="E14" s="39" t="n"/>
      <c r="F14" s="39" t="n"/>
      <c r="G14" s="39">
        <f>IF(AND(E14="",F14=""),"",MAX(ABS(E14),ABS(F14)))</f>
        <v/>
      </c>
      <c r="M14" s="40" t="n"/>
    </row>
    <row r="15" ht="15" customHeight="1" s="25">
      <c r="E15" s="39" t="n"/>
      <c r="F15" s="39" t="n"/>
      <c r="G15" s="39">
        <f>IF(AND(E15="",F15=""),"",MAX(ABS(E15),ABS(F15)))</f>
        <v/>
      </c>
      <c r="M15" s="40" t="n"/>
    </row>
    <row r="16" ht="15" customHeight="1" s="25">
      <c r="E16" s="39" t="n"/>
      <c r="F16" s="39" t="n"/>
      <c r="G16" s="39">
        <f>IF(AND(E16="",F16=""),"",MAX(ABS(E16),ABS(F16)))</f>
        <v/>
      </c>
      <c r="M16" s="40" t="n"/>
    </row>
    <row r="17" ht="15" customHeight="1" s="25">
      <c r="E17" s="39" t="n"/>
      <c r="F17" s="39" t="n"/>
      <c r="G17" s="39">
        <f>IF(AND(E17="",F17=""),"",MAX(ABS(E17),ABS(F17)))</f>
        <v/>
      </c>
      <c r="M17" s="40" t="n"/>
    </row>
    <row r="18" ht="15" customHeight="1" s="25">
      <c r="E18" s="39" t="n"/>
      <c r="F18" s="39" t="n"/>
      <c r="G18" s="39">
        <f>IF(AND(E18="",F18=""),"",MAX(ABS(E18),ABS(F18)))</f>
        <v/>
      </c>
      <c r="M18" s="40" t="n"/>
    </row>
    <row r="19" ht="15" customHeight="1" s="25">
      <c r="E19" s="39" t="n"/>
      <c r="F19" s="39" t="n"/>
      <c r="G19" s="39">
        <f>IF(AND(E19="",F19=""),"",MAX(ABS(E19),ABS(F19)))</f>
        <v/>
      </c>
      <c r="M19" s="40" t="n"/>
    </row>
    <row r="20" ht="15" customHeight="1" s="25">
      <c r="E20" s="39" t="n"/>
      <c r="F20" s="39" t="n"/>
      <c r="G20" s="39">
        <f>IF(AND(E20="",F20=""),"",MAX(ABS(E20),ABS(F20)))</f>
        <v/>
      </c>
      <c r="M20" s="40" t="n"/>
    </row>
    <row r="21" ht="15" customHeight="1" s="25">
      <c r="E21" s="39" t="n"/>
      <c r="F21" s="39" t="n"/>
      <c r="G21" s="39">
        <f>IF(AND(E21="",F21=""),"",MAX(ABS(E21),ABS(F21)))</f>
        <v/>
      </c>
      <c r="M21" s="40" t="n"/>
    </row>
    <row r="22" ht="15" customHeight="1" s="25">
      <c r="E22" s="39" t="n"/>
      <c r="F22" s="39" t="n"/>
      <c r="G22" s="39">
        <f>IF(AND(E22="",F22=""),"",MAX(ABS(E22),ABS(F22)))</f>
        <v/>
      </c>
      <c r="M22" s="40" t="n"/>
    </row>
    <row r="23" ht="15" customHeight="1" s="25">
      <c r="E23" s="39" t="n"/>
      <c r="F23" s="39" t="n"/>
      <c r="G23" s="39">
        <f>IF(AND(E23="",F23=""),"",MAX(ABS(E23),ABS(F23)))</f>
        <v/>
      </c>
      <c r="M23" s="40" t="n"/>
    </row>
    <row r="24" ht="15" customHeight="1" s="25">
      <c r="E24" s="39" t="n"/>
      <c r="F24" s="39" t="n"/>
      <c r="G24" s="39">
        <f>IF(AND(E24="",F24=""),"",MAX(ABS(E24),ABS(F24)))</f>
        <v/>
      </c>
      <c r="M24" s="40" t="n"/>
    </row>
    <row r="25" ht="15" customHeight="1" s="25">
      <c r="E25" s="39" t="n"/>
      <c r="F25" s="39" t="n"/>
      <c r="G25" s="39">
        <f>IF(AND(E25="",F25=""),"",MAX(ABS(E25),ABS(F25)))</f>
        <v/>
      </c>
      <c r="M25" s="40" t="n"/>
    </row>
    <row r="26" ht="15" customHeight="1" s="25">
      <c r="E26" s="39" t="n"/>
      <c r="F26" s="39" t="n"/>
      <c r="G26" s="39">
        <f>IF(AND(E26="",F26=""),"",MAX(ABS(E26),ABS(F26)))</f>
        <v/>
      </c>
      <c r="M26" s="40" t="n"/>
    </row>
    <row r="27" ht="15" customHeight="1" s="25">
      <c r="E27" s="39" t="n"/>
      <c r="F27" s="39" t="n"/>
      <c r="G27" s="39">
        <f>IF(AND(E27="",F27=""),"",MAX(ABS(E27),ABS(F27)))</f>
        <v/>
      </c>
      <c r="M27" s="40" t="n"/>
    </row>
    <row r="28" ht="15" customHeight="1" s="25">
      <c r="E28" s="39" t="n"/>
      <c r="F28" s="39" t="n"/>
      <c r="G28" s="39">
        <f>IF(AND(E28="",F28=""),"",MAX(ABS(E28),ABS(F28)))</f>
        <v/>
      </c>
      <c r="M28" s="40" t="n"/>
    </row>
    <row r="29" ht="15" customHeight="1" s="25">
      <c r="E29" s="39" t="n"/>
      <c r="F29" s="39" t="n"/>
      <c r="G29" s="39">
        <f>IF(AND(E29="",F29=""),"",MAX(ABS(E29),ABS(F29)))</f>
        <v/>
      </c>
      <c r="M29" s="40" t="n"/>
    </row>
    <row r="30" ht="15" customHeight="1" s="25">
      <c r="E30" s="39" t="n"/>
      <c r="F30" s="39" t="n"/>
      <c r="G30" s="39">
        <f>IF(AND(E30="",F30=""),"",MAX(ABS(E30),ABS(F30)))</f>
        <v/>
      </c>
      <c r="M30" s="40" t="n"/>
    </row>
    <row r="31" ht="15" customHeight="1" s="25">
      <c r="E31" s="39" t="n"/>
      <c r="F31" s="39" t="n"/>
      <c r="G31" s="39">
        <f>IF(AND(E31="",F31=""),"",MAX(ABS(E31),ABS(F31)))</f>
        <v/>
      </c>
      <c r="M31" s="40" t="n"/>
    </row>
    <row r="32" ht="15" customHeight="1" s="25">
      <c r="E32" s="39" t="n"/>
      <c r="F32" s="39" t="n"/>
      <c r="G32" s="39">
        <f>IF(AND(E32="",F32=""),"",MAX(ABS(E32),ABS(F32)))</f>
        <v/>
      </c>
      <c r="M32" s="40" t="n"/>
    </row>
    <row r="33" ht="15" customHeight="1" s="25">
      <c r="E33" s="39" t="n"/>
      <c r="F33" s="39" t="n"/>
      <c r="G33" s="39">
        <f>IF(AND(E33="",F33=""),"",MAX(ABS(E33),ABS(F33)))</f>
        <v/>
      </c>
      <c r="M33" s="40" t="n"/>
    </row>
    <row r="34" ht="15" customHeight="1" s="25">
      <c r="E34" s="39" t="n"/>
      <c r="F34" s="39" t="n"/>
      <c r="G34" s="39">
        <f>IF(AND(E34="",F34=""),"",MAX(ABS(E34),ABS(F34)))</f>
        <v/>
      </c>
      <c r="M34" s="40" t="n"/>
    </row>
    <row r="35" ht="15" customHeight="1" s="25">
      <c r="E35" s="39" t="n"/>
      <c r="F35" s="39" t="n"/>
      <c r="G35" s="39">
        <f>IF(AND(E35="",F35=""),"",MAX(ABS(E35),ABS(F35)))</f>
        <v/>
      </c>
      <c r="M35" s="40" t="n"/>
    </row>
    <row r="36" ht="15" customHeight="1" s="25">
      <c r="E36" s="39" t="n"/>
      <c r="F36" s="39" t="n"/>
      <c r="G36" s="39">
        <f>IF(AND(E36="",F36=""),"",MAX(ABS(E36),ABS(F36)))</f>
        <v/>
      </c>
      <c r="M36" s="40" t="n"/>
    </row>
    <row r="37" ht="15" customHeight="1" s="25">
      <c r="E37" s="39" t="n"/>
      <c r="F37" s="39" t="n"/>
      <c r="G37" s="39">
        <f>IF(AND(E37="",F37=""),"",MAX(ABS(E37),ABS(F37)))</f>
        <v/>
      </c>
      <c r="M37" s="40" t="n"/>
    </row>
    <row r="38" ht="15" customHeight="1" s="25">
      <c r="E38" s="39" t="n"/>
      <c r="F38" s="39" t="n"/>
      <c r="G38" s="39">
        <f>IF(AND(E38="",F38=""),"",MAX(ABS(E38),ABS(F38)))</f>
        <v/>
      </c>
      <c r="M38" s="40" t="n"/>
    </row>
    <row r="39" ht="15" customHeight="1" s="25">
      <c r="E39" s="39" t="n"/>
      <c r="F39" s="39" t="n"/>
      <c r="G39" s="39">
        <f>IF(AND(E39="",F39=""),"",MAX(ABS(E39),ABS(F39)))</f>
        <v/>
      </c>
      <c r="M39" s="40" t="n"/>
    </row>
    <row r="40" ht="15" customHeight="1" s="25">
      <c r="E40" s="39" t="n"/>
      <c r="F40" s="39" t="n"/>
      <c r="G40" s="39">
        <f>IF(AND(E40="",F40=""),"",MAX(ABS(E40),ABS(F40)))</f>
        <v/>
      </c>
      <c r="M40" s="40" t="n"/>
    </row>
    <row r="41" ht="15" customHeight="1" s="25">
      <c r="E41" s="39" t="n"/>
      <c r="F41" s="39" t="n"/>
      <c r="G41" s="39">
        <f>IF(AND(E41="",F41=""),"",MAX(ABS(E41),ABS(F41)))</f>
        <v/>
      </c>
      <c r="M41" s="40" t="n"/>
    </row>
    <row r="42" ht="15" customHeight="1" s="25">
      <c r="E42" s="39" t="n"/>
      <c r="F42" s="39" t="n"/>
      <c r="G42" s="39">
        <f>IF(AND(E42="",F42=""),"",MAX(ABS(E42),ABS(F42)))</f>
        <v/>
      </c>
      <c r="M42" s="40" t="n"/>
    </row>
    <row r="43" ht="15" customHeight="1" s="25">
      <c r="E43" s="39" t="n"/>
      <c r="F43" s="39" t="n"/>
      <c r="G43" s="39">
        <f>IF(AND(E43="",F43=""),"",MAX(ABS(E43),ABS(F43)))</f>
        <v/>
      </c>
      <c r="M43" s="40" t="n"/>
    </row>
    <row r="44" ht="15" customHeight="1" s="25">
      <c r="E44" s="39" t="n"/>
      <c r="F44" s="39" t="n"/>
      <c r="G44" s="39">
        <f>IF(AND(E44="",F44=""),"",MAX(ABS(E44),ABS(F44)))</f>
        <v/>
      </c>
      <c r="M44" s="40" t="n"/>
    </row>
    <row r="45" ht="15" customHeight="1" s="25">
      <c r="E45" s="39" t="n"/>
      <c r="F45" s="39" t="n"/>
      <c r="G45" s="39">
        <f>IF(AND(E45="",F45=""),"",MAX(ABS(E45),ABS(F45)))</f>
        <v/>
      </c>
      <c r="M45" s="40" t="n"/>
    </row>
    <row r="46" ht="15" customHeight="1" s="25">
      <c r="E46" s="39" t="n"/>
      <c r="F46" s="39" t="n"/>
      <c r="G46" s="39">
        <f>IF(AND(E46="",F46=""),"",MAX(ABS(E46),ABS(F46)))</f>
        <v/>
      </c>
      <c r="M46" s="40" t="n"/>
    </row>
    <row r="47" ht="15" customHeight="1" s="25">
      <c r="E47" s="39" t="n"/>
      <c r="F47" s="39" t="n"/>
      <c r="G47" s="39">
        <f>IF(AND(E47="",F47=""),"",MAX(ABS(E47),ABS(F47)))</f>
        <v/>
      </c>
      <c r="M47" s="40" t="n"/>
    </row>
    <row r="48" ht="15" customHeight="1" s="25">
      <c r="E48" s="39" t="n"/>
      <c r="F48" s="39" t="n"/>
      <c r="G48" s="39">
        <f>IF(AND(E48="",F48=""),"",MAX(ABS(E48),ABS(F48)))</f>
        <v/>
      </c>
      <c r="M48" s="40" t="n"/>
    </row>
    <row r="49" ht="15" customHeight="1" s="25">
      <c r="E49" s="39" t="n"/>
      <c r="F49" s="39" t="n"/>
      <c r="G49" s="39">
        <f>IF(AND(E49="",F49=""),"",MAX(ABS(E49),ABS(F49)))</f>
        <v/>
      </c>
      <c r="M49" s="40" t="n"/>
    </row>
    <row r="50" ht="15" customHeight="1" s="25">
      <c r="E50" s="39" t="n"/>
      <c r="F50" s="39" t="n"/>
      <c r="G50" s="39">
        <f>IF(AND(E50="",F50=""),"",MAX(ABS(E50),ABS(F50)))</f>
        <v/>
      </c>
      <c r="M50" s="40" t="n"/>
    </row>
    <row r="51" ht="15" customHeight="1" s="25">
      <c r="E51" s="39" t="n"/>
      <c r="F51" s="39" t="n"/>
      <c r="G51" s="39">
        <f>IF(AND(E51="",F51=""),"",MAX(ABS(E51),ABS(F51)))</f>
        <v/>
      </c>
      <c r="M51" s="40" t="n"/>
    </row>
    <row r="52" ht="15" customHeight="1" s="25">
      <c r="E52" s="39" t="n"/>
      <c r="F52" s="39" t="n"/>
      <c r="G52" s="39">
        <f>IF(AND(E52="",F52=""),"",MAX(ABS(E52),ABS(F52)))</f>
        <v/>
      </c>
      <c r="M52" s="40" t="n"/>
    </row>
    <row r="53" ht="15" customHeight="1" s="25">
      <c r="E53" s="39" t="n"/>
      <c r="F53" s="39" t="n"/>
      <c r="G53" s="39">
        <f>IF(AND(E53="",F53=""),"",MAX(ABS(E53),ABS(F53)))</f>
        <v/>
      </c>
      <c r="M53" s="40" t="n"/>
    </row>
    <row r="54" ht="15" customHeight="1" s="25">
      <c r="E54" s="39" t="n"/>
      <c r="F54" s="39" t="n"/>
      <c r="G54" s="39">
        <f>IF(AND(E54="",F54=""),"",MAX(ABS(E54),ABS(F54)))</f>
        <v/>
      </c>
      <c r="M54" s="40" t="n"/>
    </row>
    <row r="55" ht="15" customHeight="1" s="25">
      <c r="E55" s="39" t="n"/>
      <c r="F55" s="39" t="n"/>
      <c r="G55" s="39">
        <f>IF(AND(E55="",F55=""),"",MAX(ABS(E55),ABS(F55)))</f>
        <v/>
      </c>
      <c r="M55" s="40" t="n"/>
    </row>
    <row r="56" ht="15" customHeight="1" s="25">
      <c r="E56" s="39" t="n"/>
      <c r="F56" s="39" t="n"/>
      <c r="G56" s="39">
        <f>IF(AND(E56="",F56=""),"",MAX(ABS(E56),ABS(F56)))</f>
        <v/>
      </c>
      <c r="M56" s="40" t="n"/>
    </row>
    <row r="57" ht="15" customHeight="1" s="25">
      <c r="E57" s="39" t="n"/>
      <c r="F57" s="39" t="n"/>
      <c r="G57" s="39">
        <f>IF(AND(E57="",F57=""),"",MAX(ABS(E57),ABS(F57)))</f>
        <v/>
      </c>
      <c r="M57" s="40" t="n"/>
    </row>
    <row r="58" ht="15" customHeight="1" s="25">
      <c r="E58" s="39" t="n"/>
      <c r="F58" s="39" t="n"/>
      <c r="G58" s="39">
        <f>IF(AND(E58="",F58=""),"",MAX(ABS(E58),ABS(F58)))</f>
        <v/>
      </c>
      <c r="M58" s="40" t="n"/>
    </row>
    <row r="59" ht="15" customHeight="1" s="25">
      <c r="E59" s="39" t="n"/>
      <c r="F59" s="39" t="n"/>
      <c r="G59" s="39">
        <f>IF(AND(E59="",F59=""),"",MAX(ABS(E59),ABS(F59)))</f>
        <v/>
      </c>
      <c r="M59" s="40" t="n"/>
    </row>
    <row r="60" ht="15" customHeight="1" s="25">
      <c r="E60" s="39" t="n"/>
      <c r="F60" s="39" t="n"/>
      <c r="G60" s="39">
        <f>IF(AND(E60="",F60=""),"",MAX(ABS(E60),ABS(F60)))</f>
        <v/>
      </c>
      <c r="M60" s="40" t="n"/>
    </row>
    <row r="61" ht="15" customHeight="1" s="25">
      <c r="E61" s="39" t="n"/>
      <c r="F61" s="39" t="n"/>
      <c r="G61" s="39">
        <f>IF(AND(E61="",F61=""),"",MAX(ABS(E61),ABS(F61)))</f>
        <v/>
      </c>
      <c r="M61" s="40" t="n"/>
    </row>
    <row r="62" ht="15" customHeight="1" s="25">
      <c r="E62" s="39" t="n"/>
      <c r="F62" s="39" t="n"/>
      <c r="G62" s="39">
        <f>IF(AND(E62="",F62=""),"",MAX(ABS(E62),ABS(F62)))</f>
        <v/>
      </c>
      <c r="M62" s="40" t="n"/>
    </row>
    <row r="63" ht="15" customHeight="1" s="25">
      <c r="E63" s="39" t="n"/>
      <c r="F63" s="39" t="n"/>
      <c r="G63" s="39">
        <f>IF(AND(E63="",F63=""),"",MAX(ABS(E63),ABS(F63)))</f>
        <v/>
      </c>
      <c r="M63" s="40" t="n"/>
    </row>
    <row r="64" ht="15" customHeight="1" s="25">
      <c r="E64" s="39" t="n"/>
      <c r="F64" s="39" t="n"/>
      <c r="G64" s="39">
        <f>IF(AND(E64="",F64=""),"",MAX(ABS(E64),ABS(F64)))</f>
        <v/>
      </c>
      <c r="M64" s="40" t="n"/>
    </row>
    <row r="65" ht="15" customHeight="1" s="25">
      <c r="E65" s="39" t="n"/>
      <c r="F65" s="39" t="n"/>
      <c r="G65" s="39">
        <f>IF(AND(E65="",F65=""),"",MAX(ABS(E65),ABS(F65)))</f>
        <v/>
      </c>
      <c r="M65" s="40" t="n"/>
    </row>
    <row r="66" ht="15" customHeight="1" s="25">
      <c r="E66" s="39" t="n"/>
      <c r="F66" s="39" t="n"/>
      <c r="G66" s="39">
        <f>IF(AND(E66="",F66=""),"",MAX(ABS(E66),ABS(F66)))</f>
        <v/>
      </c>
      <c r="M66" s="40" t="n"/>
    </row>
    <row r="67" ht="15" customHeight="1" s="25">
      <c r="E67" s="39" t="n"/>
      <c r="F67" s="39" t="n"/>
      <c r="G67" s="39">
        <f>IF(AND(E67="",F67=""),"",MAX(ABS(E67),ABS(F67)))</f>
        <v/>
      </c>
      <c r="M67" s="40" t="n"/>
    </row>
    <row r="68" ht="15" customHeight="1" s="25">
      <c r="E68" s="39" t="n"/>
      <c r="F68" s="39" t="n"/>
      <c r="G68" s="39">
        <f>IF(AND(E68="",F68=""),"",MAX(ABS(E68),ABS(F68)))</f>
        <v/>
      </c>
      <c r="M68" s="40" t="n"/>
    </row>
    <row r="69" ht="15" customHeight="1" s="25">
      <c r="E69" s="39" t="n"/>
      <c r="F69" s="39" t="n"/>
      <c r="G69" s="39">
        <f>IF(AND(E69="",F69=""),"",MAX(ABS(E69),ABS(F69)))</f>
        <v/>
      </c>
      <c r="M69" s="40" t="n"/>
    </row>
    <row r="70" ht="15" customHeight="1" s="25">
      <c r="E70" s="39" t="n"/>
      <c r="F70" s="39" t="n"/>
      <c r="G70" s="39">
        <f>IF(AND(E70="",F70=""),"",MAX(ABS(E70),ABS(F70)))</f>
        <v/>
      </c>
      <c r="M70" s="40" t="n"/>
    </row>
    <row r="71" ht="15" customHeight="1" s="25">
      <c r="E71" s="39" t="n"/>
      <c r="F71" s="39" t="n"/>
      <c r="G71" s="39">
        <f>IF(AND(E71="",F71=""),"",MAX(ABS(E71),ABS(F71)))</f>
        <v/>
      </c>
      <c r="M71" s="40" t="n"/>
    </row>
    <row r="72" ht="15" customHeight="1" s="25">
      <c r="E72" s="39" t="n"/>
      <c r="F72" s="39" t="n"/>
      <c r="G72" s="39">
        <f>IF(AND(E72="",F72=""),"",MAX(ABS(E72),ABS(F72)))</f>
        <v/>
      </c>
      <c r="M72" s="40" t="n"/>
    </row>
    <row r="73" ht="15" customHeight="1" s="25">
      <c r="E73" s="39" t="n"/>
      <c r="F73" s="39" t="n"/>
      <c r="G73" s="39">
        <f>IF(AND(E73="",F73=""),"",MAX(ABS(E73),ABS(F73)))</f>
        <v/>
      </c>
      <c r="M73" s="40" t="n"/>
    </row>
    <row r="74" ht="15" customHeight="1" s="25">
      <c r="E74" s="39" t="n"/>
      <c r="F74" s="39" t="n"/>
      <c r="G74" s="39">
        <f>IF(AND(E74="",F74=""),"",MAX(ABS(E74),ABS(F74)))</f>
        <v/>
      </c>
      <c r="M74" s="40" t="n"/>
    </row>
    <row r="75" ht="15" customHeight="1" s="25">
      <c r="E75" s="39" t="n"/>
      <c r="F75" s="39" t="n"/>
      <c r="G75" s="39">
        <f>IF(AND(E75="",F75=""),"",MAX(ABS(E75),ABS(F75)))</f>
        <v/>
      </c>
      <c r="M75" s="40" t="n"/>
    </row>
    <row r="76" ht="15" customHeight="1" s="25">
      <c r="E76" s="39" t="n"/>
      <c r="F76" s="39" t="n"/>
      <c r="G76" s="39">
        <f>IF(AND(E76="",F76=""),"",MAX(ABS(E76),ABS(F76)))</f>
        <v/>
      </c>
      <c r="M76" s="40" t="n"/>
    </row>
    <row r="77" ht="15" customHeight="1" s="25">
      <c r="E77" s="39" t="n"/>
      <c r="F77" s="39" t="n"/>
      <c r="G77" s="39">
        <f>IF(AND(E77="",F77=""),"",MAX(ABS(E77),ABS(F77)))</f>
        <v/>
      </c>
      <c r="M77" s="40" t="n"/>
    </row>
    <row r="78" ht="15" customHeight="1" s="25">
      <c r="E78" s="39" t="n"/>
      <c r="F78" s="39" t="n"/>
      <c r="G78" s="39">
        <f>IF(AND(E78="",F78=""),"",MAX(ABS(E78),ABS(F78)))</f>
        <v/>
      </c>
      <c r="M78" s="40" t="n"/>
    </row>
    <row r="79" ht="15" customHeight="1" s="25">
      <c r="E79" s="39" t="n"/>
      <c r="F79" s="39" t="n"/>
      <c r="G79" s="39">
        <f>IF(AND(E79="",F79=""),"",MAX(ABS(E79),ABS(F79)))</f>
        <v/>
      </c>
      <c r="M79" s="40" t="n"/>
    </row>
    <row r="80" ht="15" customHeight="1" s="25">
      <c r="E80" s="39" t="n"/>
      <c r="F80" s="39" t="n"/>
      <c r="G80" s="39">
        <f>IF(AND(E80="",F80=""),"",MAX(ABS(E80),ABS(F80)))</f>
        <v/>
      </c>
      <c r="M80" s="40" t="n"/>
    </row>
    <row r="81" ht="15" customHeight="1" s="25">
      <c r="E81" s="39" t="n"/>
      <c r="F81" s="39" t="n"/>
      <c r="G81" s="39">
        <f>IF(AND(E81="",F81=""),"",MAX(ABS(E81),ABS(F81)))</f>
        <v/>
      </c>
      <c r="M81" s="40" t="n"/>
    </row>
    <row r="82" ht="15" customHeight="1" s="25">
      <c r="E82" s="39" t="n"/>
      <c r="F82" s="39" t="n"/>
      <c r="G82" s="39">
        <f>IF(AND(E82="",F82=""),"",MAX(ABS(E82),ABS(F82)))</f>
        <v/>
      </c>
      <c r="M82" s="40" t="n"/>
    </row>
    <row r="83" ht="15" customHeight="1" s="25">
      <c r="E83" s="39" t="n"/>
      <c r="F83" s="39" t="n"/>
      <c r="G83" s="39">
        <f>IF(AND(E83="",F83=""),"",MAX(ABS(E83),ABS(F83)))</f>
        <v/>
      </c>
      <c r="M83" s="40" t="n"/>
    </row>
    <row r="84" ht="15" customHeight="1" s="25">
      <c r="E84" s="39" t="n"/>
      <c r="F84" s="39" t="n"/>
      <c r="G84" s="39">
        <f>IF(AND(E84="",F84=""),"",MAX(ABS(E84),ABS(F84)))</f>
        <v/>
      </c>
      <c r="M84" s="40" t="n"/>
    </row>
    <row r="85" ht="15" customHeight="1" s="25">
      <c r="E85" s="39" t="n"/>
      <c r="F85" s="39" t="n"/>
      <c r="G85" s="39">
        <f>IF(AND(E85="",F85=""),"",MAX(ABS(E85),ABS(F85)))</f>
        <v/>
      </c>
      <c r="M85" s="40" t="n"/>
    </row>
    <row r="86" ht="15" customHeight="1" s="25">
      <c r="E86" s="39" t="n"/>
      <c r="F86" s="39" t="n"/>
      <c r="G86" s="39">
        <f>IF(AND(E86="",F86=""),"",MAX(ABS(E86),ABS(F86)))</f>
        <v/>
      </c>
      <c r="M86" s="40" t="n"/>
    </row>
    <row r="87" ht="15" customHeight="1" s="25">
      <c r="E87" s="39" t="n"/>
      <c r="F87" s="39" t="n"/>
      <c r="G87" s="39">
        <f>IF(AND(E87="",F87=""),"",MAX(ABS(E87),ABS(F87)))</f>
        <v/>
      </c>
      <c r="M87" s="40" t="n"/>
    </row>
    <row r="88" ht="15" customHeight="1" s="25">
      <c r="E88" s="39" t="n"/>
      <c r="F88" s="39" t="n"/>
      <c r="G88" s="39">
        <f>IF(AND(E88="",F88=""),"",MAX(ABS(E88),ABS(F88)))</f>
        <v/>
      </c>
      <c r="M88" s="40" t="n"/>
    </row>
    <row r="89" ht="15" customHeight="1" s="25">
      <c r="E89" s="39" t="n"/>
      <c r="F89" s="39" t="n"/>
      <c r="G89" s="39">
        <f>IF(AND(E89="",F89=""),"",MAX(ABS(E89),ABS(F89)))</f>
        <v/>
      </c>
      <c r="M89" s="40" t="n"/>
    </row>
    <row r="90" ht="15" customHeight="1" s="25">
      <c r="E90" s="39" t="n"/>
      <c r="F90" s="39" t="n"/>
      <c r="G90" s="39">
        <f>IF(AND(E90="",F90=""),"",MAX(ABS(E90),ABS(F90)))</f>
        <v/>
      </c>
      <c r="M90" s="40" t="n"/>
    </row>
    <row r="91" ht="15" customHeight="1" s="25">
      <c r="E91" s="39" t="n"/>
      <c r="F91" s="39" t="n"/>
      <c r="G91" s="39">
        <f>IF(AND(E91="",F91=""),"",MAX(ABS(E91),ABS(F91)))</f>
        <v/>
      </c>
      <c r="M91" s="40" t="n"/>
    </row>
    <row r="92" ht="15" customHeight="1" s="25">
      <c r="E92" s="39" t="n"/>
      <c r="F92" s="39" t="n"/>
      <c r="G92" s="39">
        <f>IF(AND(E92="",F92=""),"",MAX(ABS(E92),ABS(F92)))</f>
        <v/>
      </c>
      <c r="M92" s="40" t="n"/>
    </row>
    <row r="93" ht="15" customHeight="1" s="25">
      <c r="E93" s="39" t="n"/>
      <c r="F93" s="39" t="n"/>
      <c r="G93" s="39">
        <f>IF(AND(E93="",F93=""),"",MAX(ABS(E93),ABS(F93)))</f>
        <v/>
      </c>
      <c r="M93" s="40" t="n"/>
    </row>
    <row r="94" ht="15" customHeight="1" s="25">
      <c r="E94" s="39" t="n"/>
      <c r="F94" s="39" t="n"/>
      <c r="G94" s="39">
        <f>IF(AND(E94="",F94=""),"",MAX(ABS(E94),ABS(F94)))</f>
        <v/>
      </c>
      <c r="M94" s="40" t="n"/>
    </row>
    <row r="95" ht="15" customHeight="1" s="25">
      <c r="E95" s="39" t="n"/>
      <c r="F95" s="39" t="n"/>
      <c r="G95" s="39">
        <f>IF(AND(E95="",F95=""),"",MAX(ABS(E95),ABS(F95)))</f>
        <v/>
      </c>
      <c r="M95" s="40" t="n"/>
    </row>
    <row r="96" ht="15" customHeight="1" s="25">
      <c r="E96" s="39" t="n"/>
      <c r="F96" s="39" t="n"/>
      <c r="G96" s="39">
        <f>IF(AND(E96="",F96=""),"",MAX(ABS(E96),ABS(F96)))</f>
        <v/>
      </c>
      <c r="M96" s="40" t="n"/>
    </row>
    <row r="97" ht="15" customHeight="1" s="25">
      <c r="E97" s="39" t="n"/>
      <c r="F97" s="39" t="n"/>
      <c r="G97" s="39">
        <f>IF(AND(E97="",F97=""),"",MAX(ABS(E97),ABS(F97)))</f>
        <v/>
      </c>
      <c r="M97" s="40" t="n"/>
    </row>
    <row r="98" ht="15" customHeight="1" s="25">
      <c r="E98" s="39" t="n"/>
      <c r="F98" s="39" t="n"/>
      <c r="G98" s="39">
        <f>IF(AND(E98="",F98=""),"",MAX(ABS(E98),ABS(F98)))</f>
        <v/>
      </c>
      <c r="M98" s="40" t="n"/>
    </row>
    <row r="99" ht="15" customHeight="1" s="25">
      <c r="E99" s="39" t="n"/>
      <c r="F99" s="39" t="n"/>
      <c r="G99" s="39">
        <f>IF(AND(E99="",F99=""),"",MAX(ABS(E99),ABS(F99)))</f>
        <v/>
      </c>
      <c r="M99" s="40" t="n"/>
    </row>
    <row r="100" ht="15" customHeight="1" s="25">
      <c r="E100" s="39" t="n"/>
      <c r="F100" s="39" t="n"/>
      <c r="G100" s="39">
        <f>IF(AND(E100="",F100=""),"",MAX(ABS(E100),ABS(F100)))</f>
        <v/>
      </c>
      <c r="M100" s="40" t="n"/>
    </row>
    <row r="101" ht="15" customHeight="1" s="25">
      <c r="E101" s="39" t="n"/>
      <c r="F101" s="39" t="n"/>
      <c r="G101" s="39">
        <f>IF(AND(E101="",F101=""),"",MAX(ABS(E101),ABS(F101)))</f>
        <v/>
      </c>
      <c r="M101" s="40" t="n"/>
    </row>
    <row r="102" ht="15" customHeight="1" s="25">
      <c r="E102" s="39" t="n"/>
      <c r="F102" s="39" t="n"/>
      <c r="G102" s="39">
        <f>IF(AND(E102="",F102=""),"",MAX(ABS(E102),ABS(F102)))</f>
        <v/>
      </c>
      <c r="M102" s="40" t="n"/>
    </row>
    <row r="103" ht="15" customHeight="1" s="25">
      <c r="E103" s="39" t="n"/>
      <c r="F103" s="39" t="n"/>
      <c r="G103" s="39">
        <f>IF(AND(E103="",F103=""),"",MAX(ABS(E103),ABS(F103)))</f>
        <v/>
      </c>
      <c r="M103" s="40" t="n"/>
    </row>
    <row r="104" ht="15" customHeight="1" s="25">
      <c r="E104" s="39" t="n"/>
      <c r="F104" s="39" t="n"/>
      <c r="G104" s="39">
        <f>IF(AND(E104="",F104=""),"",MAX(ABS(E104),ABS(F104)))</f>
        <v/>
      </c>
      <c r="M104" s="40" t="n"/>
    </row>
    <row r="105" ht="15" customHeight="1" s="25">
      <c r="E105" s="39" t="n"/>
      <c r="F105" s="39" t="n"/>
      <c r="G105" s="39">
        <f>IF(AND(E105="",F105=""),"",MAX(ABS(E105),ABS(F105)))</f>
        <v/>
      </c>
      <c r="M105" s="40" t="n"/>
    </row>
    <row r="106" ht="15" customHeight="1" s="25">
      <c r="E106" s="39" t="n"/>
      <c r="F106" s="39" t="n"/>
      <c r="G106" s="39">
        <f>IF(AND(E106="",F106=""),"",MAX(ABS(E106),ABS(F106)))</f>
        <v/>
      </c>
      <c r="M106" s="40" t="n"/>
    </row>
    <row r="107" ht="15" customHeight="1" s="25">
      <c r="E107" s="39" t="n"/>
      <c r="F107" s="39" t="n"/>
      <c r="G107" s="39">
        <f>IF(AND(E107="",F107=""),"",MAX(ABS(E107),ABS(F107)))</f>
        <v/>
      </c>
      <c r="M107" s="40" t="n"/>
    </row>
    <row r="108" ht="15" customHeight="1" s="25">
      <c r="E108" s="39" t="n"/>
      <c r="F108" s="39" t="n"/>
      <c r="G108" s="39">
        <f>IF(AND(E108="",F108=""),"",MAX(ABS(E108),ABS(F108)))</f>
        <v/>
      </c>
      <c r="M108" s="40" t="n"/>
    </row>
    <row r="109" ht="15" customHeight="1" s="25">
      <c r="E109" s="39" t="n"/>
      <c r="F109" s="39" t="n"/>
      <c r="G109" s="39">
        <f>IF(AND(E109="",F109=""),"",MAX(ABS(E109),ABS(F109)))</f>
        <v/>
      </c>
      <c r="M109" s="40" t="n"/>
    </row>
    <row r="110" ht="15" customHeight="1" s="25">
      <c r="E110" s="39" t="n"/>
      <c r="F110" s="39" t="n"/>
      <c r="G110" s="39">
        <f>IF(AND(E110="",F110=""),"",MAX(ABS(E110),ABS(F110)))</f>
        <v/>
      </c>
      <c r="M110" s="40" t="n"/>
    </row>
    <row r="111" ht="15" customHeight="1" s="25">
      <c r="E111" s="39" t="n"/>
      <c r="F111" s="39" t="n"/>
      <c r="G111" s="39">
        <f>IF(AND(E111="",F111=""),"",MAX(ABS(E111),ABS(F111)))</f>
        <v/>
      </c>
      <c r="M111" s="40" t="n"/>
    </row>
    <row r="112" ht="15" customHeight="1" s="25">
      <c r="E112" s="39" t="n"/>
      <c r="F112" s="39" t="n"/>
      <c r="G112" s="39">
        <f>IF(AND(E112="",F112=""),"",MAX(ABS(E112),ABS(F112)))</f>
        <v/>
      </c>
      <c r="M112" s="40" t="n"/>
    </row>
    <row r="113" ht="15" customHeight="1" s="25">
      <c r="E113" s="39" t="n"/>
      <c r="F113" s="39" t="n"/>
      <c r="G113" s="39">
        <f>IF(AND(E113="",F113=""),"",MAX(ABS(E113),ABS(F113)))</f>
        <v/>
      </c>
      <c r="M113" s="40" t="n"/>
    </row>
    <row r="114" ht="15" customHeight="1" s="25">
      <c r="E114" s="39" t="n"/>
      <c r="F114" s="39" t="n"/>
      <c r="G114" s="39">
        <f>IF(AND(E114="",F114=""),"",MAX(ABS(E114),ABS(F114)))</f>
        <v/>
      </c>
      <c r="M114" s="40" t="n"/>
    </row>
    <row r="115" ht="15" customHeight="1" s="25">
      <c r="E115" s="39" t="n"/>
      <c r="F115" s="39" t="n"/>
      <c r="G115" s="39">
        <f>IF(AND(E115="",F115=""),"",MAX(ABS(E115),ABS(F115)))</f>
        <v/>
      </c>
      <c r="M115" s="40" t="n"/>
    </row>
    <row r="116" ht="15" customHeight="1" s="25">
      <c r="E116" s="39" t="n"/>
      <c r="F116" s="39" t="n"/>
      <c r="G116" s="39">
        <f>IF(AND(E116="",F116=""),"",MAX(ABS(E116),ABS(F116)))</f>
        <v/>
      </c>
      <c r="M116" s="40" t="n"/>
    </row>
    <row r="117" ht="15" customHeight="1" s="25">
      <c r="E117" s="39" t="n"/>
      <c r="F117" s="39" t="n"/>
      <c r="G117" s="39">
        <f>IF(AND(E117="",F117=""),"",MAX(ABS(E117),ABS(F117)))</f>
        <v/>
      </c>
      <c r="M117" s="40" t="n"/>
    </row>
    <row r="118" ht="15" customHeight="1" s="25">
      <c r="E118" s="39" t="n"/>
      <c r="F118" s="39" t="n"/>
      <c r="G118" s="39">
        <f>IF(AND(E118="",F118=""),"",MAX(ABS(E118),ABS(F118)))</f>
        <v/>
      </c>
      <c r="M118" s="40" t="n"/>
    </row>
    <row r="119" ht="15" customHeight="1" s="25">
      <c r="E119" s="39" t="n"/>
      <c r="F119" s="39" t="n"/>
      <c r="G119" s="39">
        <f>IF(AND(E119="",F119=""),"",MAX(ABS(E119),ABS(F119)))</f>
        <v/>
      </c>
      <c r="M119" s="40" t="n"/>
    </row>
    <row r="120" ht="15" customHeight="1" s="25">
      <c r="E120" s="39" t="n"/>
      <c r="F120" s="39" t="n"/>
      <c r="G120" s="39">
        <f>IF(AND(E120="",F120=""),"",MAX(ABS(E120),ABS(F120)))</f>
        <v/>
      </c>
      <c r="M120" s="40" t="n"/>
    </row>
    <row r="121" ht="15" customHeight="1" s="25">
      <c r="E121" s="39" t="n"/>
      <c r="F121" s="39" t="n"/>
      <c r="G121" s="39">
        <f>IF(AND(E121="",F121=""),"",MAX(ABS(E121),ABS(F121)))</f>
        <v/>
      </c>
      <c r="M121" s="40" t="n"/>
    </row>
    <row r="122" ht="15" customHeight="1" s="25">
      <c r="E122" s="39" t="n"/>
      <c r="F122" s="39" t="n"/>
      <c r="G122" s="39">
        <f>IF(AND(E122="",F122=""),"",MAX(ABS(E122),ABS(F122)))</f>
        <v/>
      </c>
      <c r="M122" s="40" t="n"/>
    </row>
    <row r="123" ht="15" customHeight="1" s="25">
      <c r="E123" s="39" t="n"/>
      <c r="F123" s="39" t="n"/>
      <c r="G123" s="39">
        <f>IF(AND(E123="",F123=""),"",MAX(ABS(E123),ABS(F123)))</f>
        <v/>
      </c>
      <c r="M123" s="40" t="n"/>
    </row>
    <row r="124" ht="15" customHeight="1" s="25">
      <c r="E124" s="39" t="n"/>
      <c r="F124" s="39" t="n"/>
      <c r="G124" s="39">
        <f>IF(AND(E124="",F124=""),"",MAX(ABS(E124),ABS(F124)))</f>
        <v/>
      </c>
      <c r="M124" s="40" t="n"/>
    </row>
    <row r="125" ht="15" customHeight="1" s="25">
      <c r="E125" s="39" t="n"/>
      <c r="F125" s="39" t="n"/>
      <c r="G125" s="39">
        <f>IF(AND(E125="",F125=""),"",MAX(ABS(E125),ABS(F125)))</f>
        <v/>
      </c>
      <c r="M125" s="40" t="n"/>
    </row>
    <row r="126" ht="15" customHeight="1" s="25">
      <c r="E126" s="39" t="n"/>
      <c r="F126" s="39" t="n"/>
      <c r="G126" s="39">
        <f>IF(AND(E126="",F126=""),"",MAX(ABS(E126),ABS(F126)))</f>
        <v/>
      </c>
      <c r="M126" s="40" t="n"/>
    </row>
    <row r="127" ht="15" customHeight="1" s="25">
      <c r="E127" s="39" t="n"/>
      <c r="F127" s="39" t="n"/>
      <c r="G127" s="39">
        <f>IF(AND(E127="",F127=""),"",MAX(ABS(E127),ABS(F127)))</f>
        <v/>
      </c>
      <c r="M127" s="40" t="n"/>
    </row>
    <row r="128" ht="15" customHeight="1" s="25">
      <c r="E128" s="39" t="n"/>
      <c r="F128" s="39" t="n"/>
      <c r="G128" s="39">
        <f>IF(AND(E128="",F128=""),"",MAX(ABS(E128),ABS(F128)))</f>
        <v/>
      </c>
      <c r="M128" s="40" t="n"/>
    </row>
    <row r="129" ht="15" customHeight="1" s="25">
      <c r="E129" s="39" t="n"/>
      <c r="F129" s="39" t="n"/>
      <c r="G129" s="39">
        <f>IF(AND(E129="",F129=""),"",MAX(ABS(E129),ABS(F129)))</f>
        <v/>
      </c>
      <c r="M129" s="40" t="n"/>
    </row>
    <row r="130" ht="15" customHeight="1" s="25">
      <c r="E130" s="39" t="n"/>
      <c r="F130" s="39" t="n"/>
      <c r="G130" s="39">
        <f>IF(AND(E130="",F130=""),"",MAX(ABS(E130),ABS(F130)))</f>
        <v/>
      </c>
      <c r="M130" s="40" t="n"/>
    </row>
    <row r="131" ht="15" customHeight="1" s="25">
      <c r="E131" s="39" t="n"/>
      <c r="F131" s="39" t="n"/>
      <c r="G131" s="39">
        <f>IF(AND(E131="",F131=""),"",MAX(ABS(E131),ABS(F131)))</f>
        <v/>
      </c>
      <c r="M131" s="40" t="n"/>
    </row>
    <row r="132" ht="15" customHeight="1" s="25">
      <c r="E132" s="39" t="n"/>
      <c r="F132" s="39" t="n"/>
      <c r="G132" s="39">
        <f>IF(AND(E132="",F132=""),"",MAX(ABS(E132),ABS(F132)))</f>
        <v/>
      </c>
      <c r="M132" s="40" t="n"/>
    </row>
    <row r="133" ht="15" customHeight="1" s="25">
      <c r="E133" s="39" t="n"/>
      <c r="F133" s="39" t="n"/>
      <c r="G133" s="39">
        <f>IF(AND(E133="",F133=""),"",MAX(ABS(E133),ABS(F133)))</f>
        <v/>
      </c>
      <c r="M133" s="40" t="n"/>
    </row>
    <row r="134" ht="15" customHeight="1" s="25">
      <c r="E134" s="39" t="n"/>
      <c r="F134" s="39" t="n"/>
      <c r="G134" s="39">
        <f>IF(AND(E134="",F134=""),"",MAX(ABS(E134),ABS(F134)))</f>
        <v/>
      </c>
      <c r="M134" s="40" t="n"/>
    </row>
    <row r="135" ht="15" customHeight="1" s="25">
      <c r="E135" s="39" t="n"/>
      <c r="F135" s="39" t="n"/>
      <c r="G135" s="39">
        <f>IF(AND(E135="",F135=""),"",MAX(ABS(E135),ABS(F135)))</f>
        <v/>
      </c>
      <c r="M135" s="40" t="n"/>
    </row>
    <row r="136" ht="15" customHeight="1" s="25">
      <c r="E136" s="39" t="n"/>
      <c r="F136" s="39" t="n"/>
      <c r="G136" s="39">
        <f>IF(AND(E136="",F136=""),"",MAX(ABS(E136),ABS(F136)))</f>
        <v/>
      </c>
      <c r="M136" s="40" t="n"/>
    </row>
    <row r="137" ht="15" customHeight="1" s="25">
      <c r="E137" s="39" t="n"/>
      <c r="F137" s="39" t="n"/>
      <c r="G137" s="39">
        <f>IF(AND(E137="",F137=""),"",MAX(ABS(E137),ABS(F137)))</f>
        <v/>
      </c>
      <c r="M137" s="40" t="n"/>
    </row>
    <row r="138" ht="15" customHeight="1" s="25">
      <c r="E138" s="39" t="n"/>
      <c r="F138" s="39" t="n"/>
      <c r="G138" s="39">
        <f>IF(AND(E138="",F138=""),"",MAX(ABS(E138),ABS(F138)))</f>
        <v/>
      </c>
      <c r="M138" s="40" t="n"/>
    </row>
    <row r="139" ht="15" customHeight="1" s="25">
      <c r="E139" s="39" t="n"/>
      <c r="F139" s="39" t="n"/>
      <c r="G139" s="39">
        <f>IF(AND(E139="",F139=""),"",MAX(ABS(E139),ABS(F139)))</f>
        <v/>
      </c>
      <c r="M139" s="40" t="n"/>
    </row>
    <row r="140" ht="15" customHeight="1" s="25">
      <c r="E140" s="39" t="n"/>
      <c r="F140" s="39" t="n"/>
      <c r="G140" s="39">
        <f>IF(AND(E140="",F140=""),"",MAX(ABS(E140),ABS(F140)))</f>
        <v/>
      </c>
      <c r="M140" s="40" t="n"/>
    </row>
    <row r="141" ht="15" customHeight="1" s="25">
      <c r="E141" s="39" t="n"/>
      <c r="F141" s="39" t="n"/>
      <c r="G141" s="39">
        <f>IF(AND(E141="",F141=""),"",MAX(ABS(E141),ABS(F141)))</f>
        <v/>
      </c>
      <c r="M141" s="40" t="n"/>
    </row>
    <row r="142" ht="15" customHeight="1" s="25">
      <c r="E142" s="39" t="n"/>
      <c r="F142" s="39" t="n"/>
      <c r="G142" s="39">
        <f>IF(AND(E142="",F142=""),"",MAX(ABS(E142),ABS(F142)))</f>
        <v/>
      </c>
      <c r="M142" s="40" t="n"/>
    </row>
    <row r="143" ht="15" customHeight="1" s="25">
      <c r="E143" s="39" t="n"/>
      <c r="F143" s="39" t="n"/>
      <c r="G143" s="39">
        <f>IF(AND(E143="",F143=""),"",MAX(ABS(E143),ABS(F143)))</f>
        <v/>
      </c>
      <c r="M143" s="40" t="n"/>
    </row>
    <row r="144" ht="15" customHeight="1" s="25">
      <c r="E144" s="39" t="n"/>
      <c r="F144" s="39" t="n"/>
      <c r="G144" s="39">
        <f>IF(AND(E144="",F144=""),"",MAX(ABS(E144),ABS(F144)))</f>
        <v/>
      </c>
      <c r="M144" s="40" t="n"/>
    </row>
    <row r="145" ht="15" customHeight="1" s="25">
      <c r="E145" s="39" t="n"/>
      <c r="F145" s="39" t="n"/>
      <c r="G145" s="39">
        <f>IF(AND(E145="",F145=""),"",MAX(ABS(E145),ABS(F145)))</f>
        <v/>
      </c>
      <c r="M145" s="40" t="n"/>
    </row>
    <row r="146" ht="15" customHeight="1" s="25">
      <c r="E146" s="39" t="n"/>
      <c r="F146" s="39" t="n"/>
      <c r="G146" s="39">
        <f>IF(AND(E146="",F146=""),"",MAX(ABS(E146),ABS(F146)))</f>
        <v/>
      </c>
      <c r="M146" s="40" t="n"/>
    </row>
    <row r="147" ht="15" customHeight="1" s="25">
      <c r="E147" s="39" t="n"/>
      <c r="F147" s="39" t="n"/>
      <c r="G147" s="39">
        <f>IF(AND(E147="",F147=""),"",MAX(ABS(E147),ABS(F147)))</f>
        <v/>
      </c>
      <c r="M147" s="40" t="n"/>
    </row>
    <row r="148" ht="15" customHeight="1" s="25">
      <c r="E148" s="39" t="n"/>
      <c r="F148" s="39" t="n"/>
      <c r="G148" s="39">
        <f>IF(AND(E148="",F148=""),"",MAX(ABS(E148),ABS(F148)))</f>
        <v/>
      </c>
      <c r="M148" s="40" t="n"/>
    </row>
    <row r="149" ht="15" customHeight="1" s="25">
      <c r="E149" s="39" t="n"/>
      <c r="F149" s="39" t="n"/>
      <c r="G149" s="39">
        <f>IF(AND(E149="",F149=""),"",MAX(ABS(E149),ABS(F149)))</f>
        <v/>
      </c>
      <c r="M149" s="40" t="n"/>
    </row>
    <row r="150" ht="15" customHeight="1" s="25">
      <c r="E150" s="39" t="n"/>
      <c r="F150" s="39" t="n"/>
      <c r="G150" s="39">
        <f>IF(AND(E150="",F150=""),"",MAX(ABS(E150),ABS(F150)))</f>
        <v/>
      </c>
      <c r="M150" s="40" t="n"/>
    </row>
    <row r="151" ht="15" customHeight="1" s="25">
      <c r="E151" s="39" t="n"/>
      <c r="F151" s="39" t="n"/>
      <c r="G151" s="39">
        <f>IF(AND(E151="",F151=""),"",MAX(ABS(E151),ABS(F151)))</f>
        <v/>
      </c>
      <c r="M151" s="40" t="n"/>
    </row>
    <row r="152" ht="15" customHeight="1" s="25">
      <c r="E152" s="39" t="n"/>
      <c r="F152" s="39" t="n"/>
      <c r="G152" s="39">
        <f>IF(AND(E152="",F152=""),"",MAX(ABS(E152),ABS(F152)))</f>
        <v/>
      </c>
      <c r="M152" s="40" t="n"/>
    </row>
    <row r="153" ht="15" customHeight="1" s="25">
      <c r="E153" s="39" t="n"/>
      <c r="F153" s="39" t="n"/>
      <c r="G153" s="39">
        <f>IF(AND(E153="",F153=""),"",MAX(ABS(E153),ABS(F153)))</f>
        <v/>
      </c>
      <c r="M153" s="40" t="n"/>
    </row>
    <row r="154" ht="15" customHeight="1" s="25">
      <c r="E154" s="39" t="n"/>
      <c r="F154" s="39" t="n"/>
      <c r="G154" s="39">
        <f>IF(AND(E154="",F154=""),"",MAX(ABS(E154),ABS(F154)))</f>
        <v/>
      </c>
      <c r="M154" s="40" t="n"/>
    </row>
    <row r="155" ht="15" customHeight="1" s="25">
      <c r="E155" s="39" t="n"/>
      <c r="F155" s="39" t="n"/>
      <c r="G155" s="39">
        <f>IF(AND(E155="",F155=""),"",MAX(ABS(E155),ABS(F155)))</f>
        <v/>
      </c>
      <c r="M155" s="40" t="n"/>
    </row>
    <row r="156" ht="15" customHeight="1" s="25">
      <c r="E156" s="39" t="n"/>
      <c r="F156" s="39" t="n"/>
      <c r="G156" s="39">
        <f>IF(AND(E156="",F156=""),"",MAX(ABS(E156),ABS(F156)))</f>
        <v/>
      </c>
      <c r="M156" s="40" t="n"/>
    </row>
    <row r="157" ht="15" customHeight="1" s="25">
      <c r="E157" s="39" t="n"/>
      <c r="F157" s="39" t="n"/>
      <c r="G157" s="39">
        <f>IF(AND(E157="",F157=""),"",MAX(ABS(E157),ABS(F157)))</f>
        <v/>
      </c>
      <c r="M157" s="40" t="n"/>
    </row>
    <row r="158" ht="15" customHeight="1" s="25">
      <c r="E158" s="39" t="n"/>
      <c r="F158" s="39" t="n"/>
      <c r="G158" s="39">
        <f>IF(AND(E158="",F158=""),"",MAX(ABS(E158),ABS(F158)))</f>
        <v/>
      </c>
      <c r="M158" s="40" t="n"/>
    </row>
    <row r="159" ht="15" customHeight="1" s="25">
      <c r="E159" s="39" t="n"/>
      <c r="F159" s="39" t="n"/>
      <c r="G159" s="39">
        <f>IF(AND(E159="",F159=""),"",MAX(ABS(E159),ABS(F159)))</f>
        <v/>
      </c>
      <c r="M159" s="40" t="n"/>
    </row>
    <row r="160" ht="15" customHeight="1" s="25">
      <c r="E160" s="39" t="n"/>
      <c r="F160" s="39" t="n"/>
      <c r="G160" s="39">
        <f>IF(AND(E160="",F160=""),"",MAX(ABS(E160),ABS(F160)))</f>
        <v/>
      </c>
      <c r="M160" s="40" t="n"/>
    </row>
    <row r="161" ht="15" customHeight="1" s="25">
      <c r="E161" s="39" t="n"/>
      <c r="F161" s="39" t="n"/>
      <c r="G161" s="39">
        <f>IF(AND(E161="",F161=""),"",MAX(ABS(E161),ABS(F161)))</f>
        <v/>
      </c>
      <c r="M161" s="40" t="n"/>
    </row>
    <row r="162" ht="15" customHeight="1" s="25">
      <c r="E162" s="39" t="n"/>
      <c r="F162" s="39" t="n"/>
      <c r="G162" s="39">
        <f>IF(AND(E162="",F162=""),"",MAX(ABS(E162),ABS(F162)))</f>
        <v/>
      </c>
      <c r="M162" s="40" t="n"/>
    </row>
    <row r="163" ht="15" customHeight="1" s="25">
      <c r="E163" s="39" t="n"/>
      <c r="F163" s="39" t="n"/>
      <c r="G163" s="39">
        <f>IF(AND(E163="",F163=""),"",MAX(ABS(E163),ABS(F163)))</f>
        <v/>
      </c>
      <c r="M163" s="40" t="n"/>
    </row>
    <row r="164" ht="15" customHeight="1" s="25">
      <c r="E164" s="39" t="n"/>
      <c r="F164" s="39" t="n"/>
      <c r="G164" s="39">
        <f>IF(AND(E164="",F164=""),"",MAX(ABS(E164),ABS(F164)))</f>
        <v/>
      </c>
      <c r="M164" s="40" t="n"/>
    </row>
    <row r="165" ht="15" customHeight="1" s="25">
      <c r="E165" s="39" t="n"/>
      <c r="F165" s="39" t="n"/>
      <c r="G165" s="39">
        <f>IF(AND(E165="",F165=""),"",MAX(ABS(E165),ABS(F165)))</f>
        <v/>
      </c>
      <c r="M165" s="40" t="n"/>
    </row>
    <row r="166" ht="15" customHeight="1" s="25">
      <c r="E166" s="39" t="n"/>
      <c r="F166" s="39" t="n"/>
      <c r="G166" s="39">
        <f>IF(AND(E166="",F166=""),"",MAX(ABS(E166),ABS(F166)))</f>
        <v/>
      </c>
      <c r="M166" s="40" t="n"/>
    </row>
    <row r="167" ht="15" customHeight="1" s="25">
      <c r="E167" s="39" t="n"/>
      <c r="F167" s="39" t="n"/>
      <c r="G167" s="39">
        <f>IF(AND(E167="",F167=""),"",MAX(ABS(E167),ABS(F167)))</f>
        <v/>
      </c>
      <c r="M167" s="40" t="n"/>
    </row>
    <row r="168" ht="15" customHeight="1" s="25">
      <c r="E168" s="39" t="n"/>
      <c r="F168" s="39" t="n"/>
      <c r="G168" s="39">
        <f>IF(AND(E168="",F168=""),"",MAX(ABS(E168),ABS(F168)))</f>
        <v/>
      </c>
      <c r="M168" s="40" t="n"/>
    </row>
    <row r="169" ht="15" customHeight="1" s="25">
      <c r="E169" s="39" t="n"/>
      <c r="F169" s="39" t="n"/>
      <c r="G169" s="39">
        <f>IF(AND(E169="",F169=""),"",MAX(ABS(E169),ABS(F169)))</f>
        <v/>
      </c>
      <c r="M169" s="40" t="n"/>
    </row>
    <row r="170" ht="15" customHeight="1" s="25">
      <c r="E170" s="39" t="n"/>
      <c r="F170" s="39" t="n"/>
      <c r="G170" s="39">
        <f>IF(AND(E170="",F170=""),"",MAX(ABS(E170),ABS(F170)))</f>
        <v/>
      </c>
      <c r="M170" s="40" t="n"/>
    </row>
    <row r="171" ht="15" customHeight="1" s="25">
      <c r="E171" s="39" t="n"/>
      <c r="F171" s="39" t="n"/>
      <c r="G171" s="39">
        <f>IF(AND(E171="",F171=""),"",MAX(ABS(E171),ABS(F171)))</f>
        <v/>
      </c>
      <c r="M171" s="40" t="n"/>
    </row>
    <row r="172" ht="15" customHeight="1" s="25">
      <c r="E172" s="39" t="n"/>
      <c r="F172" s="39" t="n"/>
      <c r="G172" s="39">
        <f>IF(AND(E172="",F172=""),"",MAX(ABS(E172),ABS(F172)))</f>
        <v/>
      </c>
      <c r="M172" s="40" t="n"/>
    </row>
    <row r="173" ht="15" customHeight="1" s="25">
      <c r="E173" s="39" t="n"/>
      <c r="F173" s="39" t="n"/>
      <c r="G173" s="39">
        <f>IF(AND(E173="",F173=""),"",MAX(ABS(E173),ABS(F173)))</f>
        <v/>
      </c>
      <c r="M173" s="40" t="n"/>
    </row>
    <row r="174" ht="15" customHeight="1" s="25">
      <c r="E174" s="39" t="n"/>
      <c r="F174" s="39" t="n"/>
      <c r="G174" s="39">
        <f>IF(AND(E174="",F174=""),"",MAX(ABS(E174),ABS(F174)))</f>
        <v/>
      </c>
      <c r="M174" s="40" t="n"/>
    </row>
    <row r="175" ht="15" customHeight="1" s="25">
      <c r="E175" s="39" t="n"/>
      <c r="F175" s="39" t="n"/>
      <c r="G175" s="39">
        <f>IF(AND(E175="",F175=""),"",MAX(ABS(E175),ABS(F175)))</f>
        <v/>
      </c>
      <c r="M175" s="40" t="n"/>
    </row>
    <row r="176" ht="15" customHeight="1" s="25">
      <c r="E176" s="39" t="n"/>
      <c r="F176" s="39" t="n"/>
      <c r="G176" s="39">
        <f>IF(AND(E176="",F176=""),"",MAX(ABS(E176),ABS(F176)))</f>
        <v/>
      </c>
      <c r="M176" s="40" t="n"/>
    </row>
    <row r="177" ht="15" customHeight="1" s="25">
      <c r="E177" s="39" t="n"/>
      <c r="F177" s="39" t="n"/>
      <c r="G177" s="39">
        <f>IF(AND(E177="",F177=""),"",MAX(ABS(E177),ABS(F177)))</f>
        <v/>
      </c>
      <c r="M177" s="40" t="n"/>
    </row>
    <row r="178" ht="15" customHeight="1" s="25">
      <c r="E178" s="39" t="n"/>
      <c r="F178" s="39" t="n"/>
      <c r="G178" s="39">
        <f>IF(AND(E178="",F178=""),"",MAX(ABS(E178),ABS(F178)))</f>
        <v/>
      </c>
      <c r="M178" s="40" t="n"/>
    </row>
    <row r="179" ht="15" customHeight="1" s="25">
      <c r="E179" s="39" t="n"/>
      <c r="F179" s="39" t="n"/>
      <c r="G179" s="39">
        <f>IF(AND(E179="",F179=""),"",MAX(ABS(E179),ABS(F179)))</f>
        <v/>
      </c>
      <c r="M179" s="40" t="n"/>
    </row>
    <row r="180" ht="15" customHeight="1" s="25">
      <c r="E180" s="39" t="n"/>
      <c r="F180" s="39" t="n"/>
      <c r="G180" s="39">
        <f>IF(AND(E180="",F180=""),"",MAX(ABS(E180),ABS(F180)))</f>
        <v/>
      </c>
      <c r="M180" s="40" t="n"/>
    </row>
    <row r="181" ht="15" customHeight="1" s="25">
      <c r="E181" s="39" t="n"/>
      <c r="F181" s="39" t="n"/>
      <c r="G181" s="39">
        <f>IF(AND(E181="",F181=""),"",MAX(ABS(E181),ABS(F181)))</f>
        <v/>
      </c>
      <c r="M181" s="40" t="n"/>
    </row>
    <row r="182" ht="15" customHeight="1" s="25">
      <c r="E182" s="39" t="n"/>
      <c r="F182" s="39" t="n"/>
      <c r="G182" s="39">
        <f>IF(AND(E182="",F182=""),"",MAX(ABS(E182),ABS(F182)))</f>
        <v/>
      </c>
      <c r="M182" s="40" t="n"/>
    </row>
    <row r="183" ht="15" customHeight="1" s="25">
      <c r="E183" s="39" t="n"/>
      <c r="F183" s="39" t="n"/>
      <c r="G183" s="39">
        <f>IF(AND(E183="",F183=""),"",MAX(ABS(E183),ABS(F183)))</f>
        <v/>
      </c>
      <c r="M183" s="40" t="n"/>
    </row>
    <row r="184" ht="15" customHeight="1" s="25">
      <c r="E184" s="39" t="n"/>
      <c r="F184" s="39" t="n"/>
      <c r="G184" s="39">
        <f>IF(AND(E184="",F184=""),"",MAX(ABS(E184),ABS(F184)))</f>
        <v/>
      </c>
      <c r="M184" s="40" t="n"/>
    </row>
    <row r="185" ht="15" customHeight="1" s="25">
      <c r="E185" s="39" t="n"/>
      <c r="F185" s="39" t="n"/>
      <c r="G185" s="39">
        <f>IF(AND(E185="",F185=""),"",MAX(ABS(E185),ABS(F185)))</f>
        <v/>
      </c>
      <c r="M185" s="40" t="n"/>
    </row>
    <row r="186" ht="15" customHeight="1" s="25">
      <c r="E186" s="39" t="n"/>
      <c r="F186" s="39" t="n"/>
      <c r="G186" s="39">
        <f>IF(AND(E186="",F186=""),"",MAX(ABS(E186),ABS(F186)))</f>
        <v/>
      </c>
      <c r="M186" s="40" t="n"/>
    </row>
    <row r="187" ht="15" customHeight="1" s="25">
      <c r="E187" s="39" t="n"/>
      <c r="F187" s="39" t="n"/>
      <c r="G187" s="39">
        <f>IF(AND(E187="",F187=""),"",MAX(ABS(E187),ABS(F187)))</f>
        <v/>
      </c>
      <c r="M187" s="40" t="n"/>
    </row>
    <row r="188" ht="15" customHeight="1" s="25">
      <c r="E188" s="39" t="n"/>
      <c r="F188" s="39" t="n"/>
      <c r="G188" s="39">
        <f>IF(AND(E188="",F188=""),"",MAX(ABS(E188),ABS(F188)))</f>
        <v/>
      </c>
      <c r="M188" s="40" t="n"/>
    </row>
    <row r="189" ht="15" customHeight="1" s="25">
      <c r="E189" s="39" t="n"/>
      <c r="F189" s="39" t="n"/>
      <c r="G189" s="39">
        <f>IF(AND(E189="",F189=""),"",MAX(ABS(E189),ABS(F189)))</f>
        <v/>
      </c>
      <c r="M189" s="40" t="n"/>
    </row>
    <row r="190" ht="15" customHeight="1" s="25">
      <c r="E190" s="39" t="n"/>
      <c r="F190" s="39" t="n"/>
      <c r="G190" s="39">
        <f>IF(AND(E190="",F190=""),"",MAX(ABS(E190),ABS(F190)))</f>
        <v/>
      </c>
      <c r="M190" s="40" t="n"/>
    </row>
    <row r="191" ht="15" customHeight="1" s="25">
      <c r="E191" s="39" t="n"/>
      <c r="F191" s="39" t="n"/>
      <c r="G191" s="39">
        <f>IF(AND(E191="",F191=""),"",MAX(ABS(E191),ABS(F191)))</f>
        <v/>
      </c>
      <c r="M191" s="40" t="n"/>
    </row>
    <row r="192" ht="15" customHeight="1" s="25">
      <c r="E192" s="39" t="n"/>
      <c r="F192" s="39" t="n"/>
      <c r="G192" s="39">
        <f>IF(AND(E192="",F192=""),"",MAX(ABS(E192),ABS(F192)))</f>
        <v/>
      </c>
      <c r="M192" s="40" t="n"/>
    </row>
    <row r="193" ht="15" customHeight="1" s="25">
      <c r="E193" s="39" t="n"/>
      <c r="F193" s="39" t="n"/>
      <c r="G193" s="39">
        <f>IF(AND(E193="",F193=""),"",MAX(ABS(E193),ABS(F193)))</f>
        <v/>
      </c>
      <c r="M193" s="40" t="n"/>
    </row>
    <row r="194" ht="15" customHeight="1" s="25">
      <c r="E194" s="39" t="n"/>
      <c r="F194" s="39" t="n"/>
      <c r="G194" s="39">
        <f>IF(AND(E194="",F194=""),"",MAX(ABS(E194),ABS(F194)))</f>
        <v/>
      </c>
      <c r="M194" s="40" t="n"/>
    </row>
    <row r="195" ht="15" customHeight="1" s="25">
      <c r="E195" s="39" t="n"/>
      <c r="F195" s="39" t="n"/>
      <c r="G195" s="39">
        <f>IF(AND(E195="",F195=""),"",MAX(ABS(E195),ABS(F195)))</f>
        <v/>
      </c>
      <c r="M195" s="40" t="n"/>
    </row>
    <row r="196" ht="15" customHeight="1" s="25">
      <c r="E196" s="39" t="n"/>
      <c r="F196" s="39" t="n"/>
      <c r="G196" s="39">
        <f>IF(AND(E196="",F196=""),"",MAX(ABS(E196),ABS(F196)))</f>
        <v/>
      </c>
      <c r="M196" s="40" t="n"/>
    </row>
    <row r="197" ht="15" customHeight="1" s="25">
      <c r="E197" s="39" t="n"/>
      <c r="F197" s="39" t="n"/>
      <c r="G197" s="39">
        <f>IF(AND(E197="",F197=""),"",MAX(ABS(E197),ABS(F197)))</f>
        <v/>
      </c>
      <c r="M197" s="40" t="n"/>
    </row>
    <row r="198" ht="15" customHeight="1" s="25">
      <c r="E198" s="39" t="n"/>
      <c r="F198" s="39" t="n"/>
      <c r="G198" s="39">
        <f>IF(AND(E198="",F198=""),"",MAX(ABS(E198),ABS(F198)))</f>
        <v/>
      </c>
      <c r="M198" s="40" t="n"/>
    </row>
    <row r="199" ht="15" customHeight="1" s="25">
      <c r="E199" s="39" t="n"/>
      <c r="F199" s="39" t="n"/>
      <c r="G199" s="39">
        <f>IF(AND(E199="",F199=""),"",MAX(ABS(E199),ABS(F199)))</f>
        <v/>
      </c>
      <c r="M199" s="40" t="n"/>
    </row>
    <row r="200" ht="15" customHeight="1" s="25">
      <c r="E200" s="39" t="n"/>
      <c r="F200" s="39" t="n"/>
      <c r="G200" s="39">
        <f>IF(AND(E200="",F200=""),"",MAX(ABS(E200),ABS(F200)))</f>
        <v/>
      </c>
      <c r="M200" s="40" t="n"/>
    </row>
    <row r="201" ht="15" customHeight="1" s="25">
      <c r="E201" s="39" t="n"/>
      <c r="F201" s="39" t="n"/>
      <c r="G201" s="39">
        <f>IF(AND(E201="",F201=""),"",MAX(ABS(E201),ABS(F201)))</f>
        <v/>
      </c>
      <c r="M201" s="40" t="n"/>
    </row>
    <row r="202" ht="15" customHeight="1" s="25">
      <c r="E202" s="39" t="n"/>
      <c r="F202" s="39" t="n"/>
      <c r="G202" s="39">
        <f>IF(AND(E202="",F202=""),"",MAX(ABS(E202),ABS(F202)))</f>
        <v/>
      </c>
      <c r="M202" s="40" t="n"/>
    </row>
    <row r="203" ht="15" customHeight="1" s="25">
      <c r="E203" s="39" t="n"/>
      <c r="F203" s="39" t="n"/>
      <c r="G203" s="39">
        <f>IF(AND(E203="",F203=""),"",MAX(ABS(E203),ABS(F203)))</f>
        <v/>
      </c>
      <c r="M203" s="40" t="n"/>
    </row>
    <row r="204" ht="15" customHeight="1" s="25">
      <c r="E204" s="39" t="n"/>
      <c r="F204" s="39" t="n"/>
      <c r="G204" s="39">
        <f>IF(AND(E204="",F204=""),"",MAX(ABS(E204),ABS(F204)))</f>
        <v/>
      </c>
      <c r="M204" s="40" t="n"/>
    </row>
    <row r="205" ht="15" customHeight="1" s="25">
      <c r="E205" s="39" t="n"/>
      <c r="F205" s="39" t="n"/>
      <c r="G205" s="39">
        <f>IF(AND(E205="",F205=""),"",MAX(ABS(E205),ABS(F205)))</f>
        <v/>
      </c>
      <c r="M205" s="40" t="n"/>
    </row>
    <row r="206" ht="15" customHeight="1" s="25">
      <c r="E206" s="39" t="n"/>
      <c r="F206" s="39" t="n"/>
      <c r="G206" s="39">
        <f>IF(AND(E206="",F206=""),"",MAX(ABS(E206),ABS(F206)))</f>
        <v/>
      </c>
      <c r="M206" s="40" t="n"/>
    </row>
    <row r="207" ht="15" customHeight="1" s="25">
      <c r="E207" s="39" t="n"/>
      <c r="F207" s="39" t="n"/>
      <c r="G207" s="39">
        <f>IF(AND(E207="",F207=""),"",MAX(ABS(E207),ABS(F207)))</f>
        <v/>
      </c>
      <c r="M207" s="40" t="n"/>
    </row>
    <row r="208" ht="15" customHeight="1" s="25">
      <c r="E208" s="39" t="n"/>
      <c r="F208" s="39" t="n"/>
      <c r="G208" s="39">
        <f>IF(AND(E208="",F208=""),"",MAX(ABS(E208),ABS(F208)))</f>
        <v/>
      </c>
      <c r="M208" s="40" t="n"/>
    </row>
    <row r="209" ht="15" customHeight="1" s="25">
      <c r="E209" s="39" t="n"/>
      <c r="F209" s="39" t="n"/>
      <c r="G209" s="39">
        <f>IF(AND(E209="",F209=""),"",MAX(ABS(E209),ABS(F209)))</f>
        <v/>
      </c>
      <c r="M209" s="40" t="n"/>
    </row>
    <row r="210" ht="15" customHeight="1" s="25">
      <c r="E210" s="39" t="n"/>
      <c r="F210" s="39" t="n"/>
      <c r="G210" s="39">
        <f>IF(AND(E210="",F210=""),"",MAX(ABS(E210),ABS(F210)))</f>
        <v/>
      </c>
      <c r="M210" s="40" t="n"/>
    </row>
    <row r="211" ht="15" customHeight="1" s="25">
      <c r="E211" s="39" t="n"/>
      <c r="F211" s="39" t="n"/>
      <c r="G211" s="39">
        <f>IF(AND(E211="",F211=""),"",MAX(ABS(E211),ABS(F211)))</f>
        <v/>
      </c>
      <c r="M211" s="40" t="n"/>
    </row>
    <row r="212" ht="15" customHeight="1" s="25">
      <c r="E212" s="39" t="n"/>
      <c r="F212" s="39" t="n"/>
      <c r="G212" s="39">
        <f>IF(AND(E212="",F212=""),"",MAX(ABS(E212),ABS(F212)))</f>
        <v/>
      </c>
      <c r="M212" s="40" t="n"/>
    </row>
    <row r="213" ht="15" customHeight="1" s="25">
      <c r="E213" s="39" t="n"/>
      <c r="F213" s="39" t="n"/>
      <c r="G213" s="39">
        <f>IF(AND(E213="",F213=""),"",MAX(ABS(E213),ABS(F213)))</f>
        <v/>
      </c>
      <c r="M213" s="40" t="n"/>
    </row>
    <row r="214" ht="15" customHeight="1" s="25">
      <c r="E214" s="39" t="n"/>
      <c r="F214" s="39" t="n"/>
      <c r="G214" s="39">
        <f>IF(AND(E214="",F214=""),"",MAX(ABS(E214),ABS(F214)))</f>
        <v/>
      </c>
      <c r="M214" s="40" t="n"/>
    </row>
    <row r="215" ht="15" customHeight="1" s="25">
      <c r="E215" s="39" t="n"/>
      <c r="F215" s="39" t="n"/>
      <c r="G215" s="39">
        <f>IF(AND(E215="",F215=""),"",MAX(ABS(E215),ABS(F215)))</f>
        <v/>
      </c>
      <c r="M215" s="40" t="n"/>
    </row>
    <row r="216" ht="15" customHeight="1" s="25">
      <c r="E216" s="39" t="n"/>
      <c r="F216" s="39" t="n"/>
      <c r="G216" s="39">
        <f>IF(AND(E216="",F216=""),"",MAX(ABS(E216),ABS(F216)))</f>
        <v/>
      </c>
      <c r="M216" s="40" t="n"/>
    </row>
    <row r="217" ht="15" customHeight="1" s="25">
      <c r="E217" s="39" t="n"/>
      <c r="F217" s="39" t="n"/>
      <c r="G217" s="39">
        <f>IF(AND(E217="",F217=""),"",MAX(ABS(E217),ABS(F217)))</f>
        <v/>
      </c>
      <c r="M217" s="40" t="n"/>
    </row>
    <row r="218" ht="15" customHeight="1" s="25">
      <c r="E218" s="39" t="n"/>
      <c r="F218" s="39" t="n"/>
      <c r="G218" s="39">
        <f>IF(AND(E218="",F218=""),"",MAX(ABS(E218),ABS(F218)))</f>
        <v/>
      </c>
      <c r="M218" s="40" t="n"/>
    </row>
    <row r="219" ht="15" customHeight="1" s="25">
      <c r="E219" s="39" t="n"/>
      <c r="F219" s="39" t="n"/>
      <c r="G219" s="39">
        <f>IF(AND(E219="",F219=""),"",MAX(ABS(E219),ABS(F219)))</f>
        <v/>
      </c>
      <c r="M219" s="40" t="n"/>
    </row>
    <row r="220" ht="15" customHeight="1" s="25">
      <c r="E220" s="39" t="n"/>
      <c r="F220" s="39" t="n"/>
      <c r="G220" s="39">
        <f>IF(AND(E220="",F220=""),"",MAX(ABS(E220),ABS(F220)))</f>
        <v/>
      </c>
      <c r="M220" s="40" t="n"/>
    </row>
    <row r="221" ht="15" customHeight="1" s="25">
      <c r="E221" s="39" t="n"/>
      <c r="F221" s="39" t="n"/>
      <c r="G221" s="39">
        <f>IF(AND(E221="",F221=""),"",MAX(ABS(E221),ABS(F221)))</f>
        <v/>
      </c>
      <c r="M221" s="40" t="n"/>
    </row>
    <row r="222" ht="15" customHeight="1" s="25">
      <c r="E222" s="39" t="n"/>
      <c r="F222" s="39" t="n"/>
      <c r="G222" s="39">
        <f>IF(AND(E222="",F222=""),"",MAX(ABS(E222),ABS(F222)))</f>
        <v/>
      </c>
      <c r="M222" s="40" t="n"/>
    </row>
    <row r="223" ht="15" customHeight="1" s="25">
      <c r="E223" s="39" t="n"/>
      <c r="F223" s="39" t="n"/>
      <c r="G223" s="39">
        <f>IF(AND(E223="",F223=""),"",MAX(ABS(E223),ABS(F223)))</f>
        <v/>
      </c>
      <c r="M223" s="40" t="n"/>
    </row>
    <row r="224" ht="15" customHeight="1" s="25">
      <c r="E224" s="39" t="n"/>
      <c r="F224" s="39" t="n"/>
      <c r="G224" s="39">
        <f>IF(AND(E224="",F224=""),"",MAX(ABS(E224),ABS(F224)))</f>
        <v/>
      </c>
      <c r="M224" s="40" t="n"/>
    </row>
    <row r="225" ht="15" customHeight="1" s="25">
      <c r="E225" s="39" t="n"/>
      <c r="F225" s="39" t="n"/>
      <c r="G225" s="39">
        <f>IF(AND(E225="",F225=""),"",MAX(ABS(E225),ABS(F225)))</f>
        <v/>
      </c>
      <c r="M225" s="40" t="n"/>
    </row>
    <row r="226" ht="15" customHeight="1" s="25">
      <c r="E226" s="39" t="n"/>
      <c r="F226" s="39" t="n"/>
      <c r="G226" s="39">
        <f>IF(AND(E226="",F226=""),"",MAX(ABS(E226),ABS(F226)))</f>
        <v/>
      </c>
      <c r="M226" s="40" t="n"/>
    </row>
    <row r="227" ht="15" customHeight="1" s="25">
      <c r="E227" s="39" t="n"/>
      <c r="F227" s="39" t="n"/>
      <c r="G227" s="39">
        <f>IF(AND(E227="",F227=""),"",MAX(ABS(E227),ABS(F227)))</f>
        <v/>
      </c>
      <c r="M227" s="40" t="n"/>
    </row>
    <row r="228" ht="15" customHeight="1" s="25">
      <c r="E228" s="39" t="n"/>
      <c r="F228" s="39" t="n"/>
      <c r="G228" s="39">
        <f>IF(AND(E228="",F228=""),"",MAX(ABS(E228),ABS(F228)))</f>
        <v/>
      </c>
      <c r="M228" s="40" t="n"/>
    </row>
    <row r="229" ht="15" customHeight="1" s="25">
      <c r="E229" s="39" t="n"/>
      <c r="F229" s="39" t="n"/>
      <c r="G229" s="39">
        <f>IF(AND(E229="",F229=""),"",MAX(ABS(E229),ABS(F229)))</f>
        <v/>
      </c>
      <c r="M229" s="40" t="n"/>
    </row>
    <row r="230" ht="15" customHeight="1" s="25">
      <c r="E230" s="39" t="n"/>
      <c r="F230" s="39" t="n"/>
      <c r="G230" s="39">
        <f>IF(AND(E230="",F230=""),"",MAX(ABS(E230),ABS(F230)))</f>
        <v/>
      </c>
      <c r="M230" s="40" t="n"/>
    </row>
    <row r="231" ht="15" customHeight="1" s="25">
      <c r="E231" s="39" t="n"/>
      <c r="F231" s="39" t="n"/>
      <c r="G231" s="39">
        <f>IF(AND(E231="",F231=""),"",MAX(ABS(E231),ABS(F231)))</f>
        <v/>
      </c>
      <c r="M231" s="40" t="n"/>
    </row>
    <row r="232" ht="15" customHeight="1" s="25">
      <c r="E232" s="39" t="n"/>
      <c r="F232" s="39" t="n"/>
      <c r="G232" s="39">
        <f>IF(AND(E232="",F232=""),"",MAX(ABS(E232),ABS(F232)))</f>
        <v/>
      </c>
      <c r="M232" s="40" t="n"/>
    </row>
    <row r="233" ht="15" customHeight="1" s="25">
      <c r="E233" s="39" t="n"/>
      <c r="F233" s="39" t="n"/>
      <c r="G233" s="39">
        <f>IF(AND(E233="",F233=""),"",MAX(ABS(E233),ABS(F233)))</f>
        <v/>
      </c>
      <c r="M233" s="40" t="n"/>
    </row>
    <row r="234" ht="15" customHeight="1" s="25">
      <c r="E234" s="39" t="n"/>
      <c r="F234" s="39" t="n"/>
      <c r="G234" s="39">
        <f>IF(AND(E234="",F234=""),"",MAX(ABS(E234),ABS(F234)))</f>
        <v/>
      </c>
      <c r="M234" s="40" t="n"/>
    </row>
    <row r="235" ht="15" customHeight="1" s="25">
      <c r="E235" s="39" t="n"/>
      <c r="F235" s="39" t="n"/>
      <c r="G235" s="39">
        <f>IF(AND(E235="",F235=""),"",MAX(ABS(E235),ABS(F235)))</f>
        <v/>
      </c>
      <c r="M235" s="40" t="n"/>
    </row>
    <row r="236" ht="15" customHeight="1" s="25">
      <c r="E236" s="39" t="n"/>
      <c r="F236" s="39" t="n"/>
      <c r="G236" s="39">
        <f>IF(AND(E236="",F236=""),"",MAX(ABS(E236),ABS(F236)))</f>
        <v/>
      </c>
      <c r="M236" s="40" t="n"/>
    </row>
    <row r="237" ht="15" customHeight="1" s="25">
      <c r="E237" s="39" t="n"/>
      <c r="F237" s="39" t="n"/>
      <c r="G237" s="39">
        <f>IF(AND(E237="",F237=""),"",MAX(ABS(E237),ABS(F237)))</f>
        <v/>
      </c>
      <c r="M237" s="40" t="n"/>
    </row>
    <row r="238" ht="15" customHeight="1" s="25">
      <c r="E238" s="39" t="n"/>
      <c r="F238" s="39" t="n"/>
      <c r="G238" s="39">
        <f>IF(AND(E238="",F238=""),"",MAX(ABS(E238),ABS(F238)))</f>
        <v/>
      </c>
      <c r="M238" s="40" t="n"/>
    </row>
    <row r="239" ht="15" customHeight="1" s="25">
      <c r="E239" s="39" t="n"/>
      <c r="F239" s="39" t="n"/>
      <c r="G239" s="39">
        <f>IF(AND(E239="",F239=""),"",MAX(ABS(E239),ABS(F239)))</f>
        <v/>
      </c>
      <c r="M239" s="40" t="n"/>
    </row>
    <row r="240" ht="15" customHeight="1" s="25">
      <c r="E240" s="39" t="n"/>
      <c r="F240" s="39" t="n"/>
      <c r="G240" s="39">
        <f>IF(AND(E240="",F240=""),"",MAX(ABS(E240),ABS(F240)))</f>
        <v/>
      </c>
      <c r="M240" s="40" t="n"/>
    </row>
    <row r="241" ht="15" customHeight="1" s="25">
      <c r="E241" s="39" t="n"/>
      <c r="F241" s="39" t="n"/>
      <c r="G241" s="39">
        <f>IF(AND(E241="",F241=""),"",MAX(ABS(E241),ABS(F241)))</f>
        <v/>
      </c>
      <c r="M241" s="40" t="n"/>
    </row>
    <row r="242" ht="15" customHeight="1" s="25">
      <c r="E242" s="39" t="n"/>
      <c r="F242" s="39" t="n"/>
      <c r="G242" s="39">
        <f>IF(AND(E242="",F242=""),"",MAX(ABS(E242),ABS(F242)))</f>
        <v/>
      </c>
      <c r="M242" s="40" t="n"/>
    </row>
    <row r="243" ht="15" customHeight="1" s="25">
      <c r="E243" s="39" t="n"/>
      <c r="F243" s="39" t="n"/>
      <c r="G243" s="39">
        <f>IF(AND(E243="",F243=""),"",MAX(ABS(E243),ABS(F243)))</f>
        <v/>
      </c>
      <c r="M243" s="40" t="n"/>
    </row>
    <row r="244" ht="15" customHeight="1" s="25">
      <c r="E244" s="39" t="n"/>
      <c r="F244" s="39" t="n"/>
      <c r="G244" s="39">
        <f>IF(AND(E244="",F244=""),"",MAX(ABS(E244),ABS(F244)))</f>
        <v/>
      </c>
      <c r="M244" s="40" t="n"/>
    </row>
    <row r="245" ht="15" customHeight="1" s="25">
      <c r="E245" s="39" t="n"/>
      <c r="F245" s="39" t="n"/>
      <c r="G245" s="39">
        <f>IF(AND(E245="",F245=""),"",MAX(ABS(E245),ABS(F245)))</f>
        <v/>
      </c>
      <c r="M245" s="40" t="n"/>
    </row>
    <row r="246" ht="15" customHeight="1" s="25">
      <c r="E246" s="39" t="n"/>
      <c r="F246" s="39" t="n"/>
      <c r="G246" s="39">
        <f>IF(AND(E246="",F246=""),"",MAX(ABS(E246),ABS(F246)))</f>
        <v/>
      </c>
      <c r="M246" s="40" t="n"/>
    </row>
    <row r="247" ht="15" customHeight="1" s="25">
      <c r="E247" s="39" t="n"/>
      <c r="F247" s="39" t="n"/>
      <c r="G247" s="39">
        <f>IF(AND(E247="",F247=""),"",MAX(ABS(E247),ABS(F247)))</f>
        <v/>
      </c>
      <c r="M247" s="40" t="n"/>
    </row>
    <row r="248" ht="15" customHeight="1" s="25">
      <c r="E248" s="39" t="n"/>
      <c r="F248" s="39" t="n"/>
      <c r="G248" s="39">
        <f>IF(AND(E248="",F248=""),"",MAX(ABS(E248),ABS(F248)))</f>
        <v/>
      </c>
      <c r="M248" s="40" t="n"/>
    </row>
    <row r="249" ht="15" customHeight="1" s="25">
      <c r="E249" s="39" t="n"/>
      <c r="F249" s="39" t="n"/>
      <c r="G249" s="39">
        <f>IF(AND(E249="",F249=""),"",MAX(ABS(E249),ABS(F249)))</f>
        <v/>
      </c>
      <c r="M249" s="40" t="n"/>
    </row>
    <row r="250" ht="15" customHeight="1" s="25">
      <c r="E250" s="39" t="n"/>
      <c r="F250" s="39" t="n"/>
      <c r="G250" s="39">
        <f>IF(AND(E250="",F250=""),"",MAX(ABS(E250),ABS(F250)))</f>
        <v/>
      </c>
      <c r="M250" s="40" t="n"/>
    </row>
    <row r="251" ht="15" customHeight="1" s="25">
      <c r="E251" s="39" t="n"/>
      <c r="F251" s="39" t="n"/>
      <c r="G251" s="39">
        <f>IF(AND(E251="",F251=""),"",MAX(ABS(E251),ABS(F251)))</f>
        <v/>
      </c>
      <c r="M251" s="40" t="n"/>
    </row>
    <row r="252" ht="15" customHeight="1" s="25">
      <c r="E252" s="39" t="n"/>
      <c r="F252" s="39" t="n"/>
      <c r="G252" s="39">
        <f>IF(AND(E252="",F252=""),"",MAX(ABS(E252),ABS(F252)))</f>
        <v/>
      </c>
      <c r="M252" s="40" t="n"/>
    </row>
    <row r="253" ht="15" customHeight="1" s="25">
      <c r="E253" s="39" t="n"/>
      <c r="F253" s="39" t="n"/>
      <c r="G253" s="39">
        <f>IF(AND(E253="",F253=""),"",MAX(ABS(E253),ABS(F253)))</f>
        <v/>
      </c>
      <c r="M253" s="40" t="n"/>
    </row>
    <row r="254" ht="15" customHeight="1" s="25">
      <c r="E254" s="39" t="n"/>
      <c r="F254" s="39" t="n"/>
      <c r="G254" s="39">
        <f>IF(AND(E254="",F254=""),"",MAX(ABS(E254),ABS(F254)))</f>
        <v/>
      </c>
      <c r="M254" s="40" t="n"/>
    </row>
    <row r="255" ht="15" customHeight="1" s="25">
      <c r="E255" s="39" t="n"/>
      <c r="F255" s="39" t="n"/>
      <c r="G255" s="39">
        <f>IF(AND(E255="",F255=""),"",MAX(ABS(E255),ABS(F255)))</f>
        <v/>
      </c>
      <c r="M255" s="40" t="n"/>
    </row>
    <row r="256" ht="15" customHeight="1" s="25">
      <c r="E256" s="39" t="n"/>
      <c r="F256" s="39" t="n"/>
      <c r="G256" s="39">
        <f>IF(AND(E256="",F256=""),"",MAX(ABS(E256),ABS(F256)))</f>
        <v/>
      </c>
      <c r="M256" s="40" t="n"/>
    </row>
    <row r="257" ht="15" customHeight="1" s="25">
      <c r="E257" s="39" t="n"/>
      <c r="F257" s="39" t="n"/>
      <c r="G257" s="39">
        <f>IF(AND(E257="",F257=""),"",MAX(ABS(E257),ABS(F257)))</f>
        <v/>
      </c>
      <c r="M257" s="40" t="n"/>
    </row>
    <row r="258" ht="15" customHeight="1" s="25">
      <c r="E258" s="39" t="n"/>
      <c r="F258" s="39" t="n"/>
      <c r="G258" s="39">
        <f>IF(AND(E258="",F258=""),"",MAX(ABS(E258),ABS(F258)))</f>
        <v/>
      </c>
      <c r="M258" s="40" t="n"/>
    </row>
    <row r="259" ht="15" customHeight="1" s="25">
      <c r="E259" s="39" t="n"/>
      <c r="F259" s="39" t="n"/>
      <c r="G259" s="39">
        <f>IF(AND(E259="",F259=""),"",MAX(ABS(E259),ABS(F259)))</f>
        <v/>
      </c>
      <c r="M259" s="40" t="n"/>
    </row>
    <row r="260" ht="15" customHeight="1" s="25">
      <c r="E260" s="39" t="n"/>
      <c r="F260" s="39" t="n"/>
      <c r="G260" s="39">
        <f>IF(AND(E260="",F260=""),"",MAX(ABS(E260),ABS(F260)))</f>
        <v/>
      </c>
      <c r="M260" s="40" t="n"/>
    </row>
    <row r="261" ht="15" customHeight="1" s="25">
      <c r="E261" s="39" t="n"/>
      <c r="F261" s="39" t="n"/>
      <c r="G261" s="39">
        <f>IF(AND(E261="",F261=""),"",MAX(ABS(E261),ABS(F261)))</f>
        <v/>
      </c>
      <c r="M261" s="40" t="n"/>
    </row>
    <row r="262" ht="15" customHeight="1" s="25">
      <c r="E262" s="39" t="n"/>
      <c r="F262" s="39" t="n"/>
      <c r="G262" s="39">
        <f>IF(AND(E262="",F262=""),"",MAX(ABS(E262),ABS(F262)))</f>
        <v/>
      </c>
      <c r="M262" s="40" t="n"/>
    </row>
    <row r="263" ht="15" customHeight="1" s="25">
      <c r="E263" s="39" t="n"/>
      <c r="F263" s="39" t="n"/>
      <c r="G263" s="39">
        <f>IF(AND(E263="",F263=""),"",MAX(ABS(E263),ABS(F263)))</f>
        <v/>
      </c>
      <c r="M263" s="40" t="n"/>
    </row>
    <row r="264" ht="15" customHeight="1" s="25">
      <c r="E264" s="39" t="n"/>
      <c r="F264" s="39" t="n"/>
      <c r="G264" s="39">
        <f>IF(AND(E264="",F264=""),"",MAX(ABS(E264),ABS(F264)))</f>
        <v/>
      </c>
      <c r="M264" s="40" t="n"/>
    </row>
    <row r="265" ht="15" customHeight="1" s="25">
      <c r="E265" s="39" t="n"/>
      <c r="F265" s="39" t="n"/>
      <c r="G265" s="39">
        <f>IF(AND(E265="",F265=""),"",MAX(ABS(E265),ABS(F265)))</f>
        <v/>
      </c>
      <c r="M265" s="40" t="n"/>
    </row>
    <row r="266" ht="15" customHeight="1" s="25">
      <c r="E266" s="39" t="n"/>
      <c r="F266" s="39" t="n"/>
      <c r="G266" s="39">
        <f>IF(AND(E266="",F266=""),"",MAX(ABS(E266),ABS(F266)))</f>
        <v/>
      </c>
      <c r="M266" s="40" t="n"/>
    </row>
    <row r="267" ht="15" customHeight="1" s="25">
      <c r="E267" s="39" t="n"/>
      <c r="F267" s="39" t="n"/>
      <c r="G267" s="39">
        <f>IF(AND(E267="",F267=""),"",MAX(ABS(E267),ABS(F267)))</f>
        <v/>
      </c>
      <c r="M267" s="40" t="n"/>
    </row>
    <row r="268" ht="15" customHeight="1" s="25">
      <c r="E268" s="39" t="n"/>
      <c r="F268" s="39" t="n"/>
      <c r="G268" s="39">
        <f>IF(AND(E268="",F268=""),"",MAX(ABS(E268),ABS(F268)))</f>
        <v/>
      </c>
      <c r="M268" s="40" t="n"/>
    </row>
    <row r="269" ht="15" customHeight="1" s="25">
      <c r="E269" s="39" t="n"/>
      <c r="F269" s="39" t="n"/>
      <c r="G269" s="39">
        <f>IF(AND(E269="",F269=""),"",MAX(ABS(E269),ABS(F269)))</f>
        <v/>
      </c>
      <c r="M269" s="40" t="n"/>
    </row>
    <row r="270" ht="15" customHeight="1" s="25">
      <c r="E270" s="39" t="n"/>
      <c r="F270" s="39" t="n"/>
      <c r="G270" s="39">
        <f>IF(AND(E270="",F270=""),"",MAX(ABS(E270),ABS(F270)))</f>
        <v/>
      </c>
      <c r="M270" s="40" t="n"/>
    </row>
    <row r="271" ht="15" customHeight="1" s="25">
      <c r="E271" s="39" t="n"/>
      <c r="F271" s="39" t="n"/>
      <c r="G271" s="39">
        <f>IF(AND(E271="",F271=""),"",MAX(ABS(E271),ABS(F271)))</f>
        <v/>
      </c>
      <c r="M271" s="40" t="n"/>
    </row>
    <row r="272" ht="15" customHeight="1" s="25">
      <c r="E272" s="39" t="n"/>
      <c r="F272" s="39" t="n"/>
      <c r="G272" s="39">
        <f>IF(AND(E272="",F272=""),"",MAX(ABS(E272),ABS(F272)))</f>
        <v/>
      </c>
      <c r="M272" s="40" t="n"/>
    </row>
    <row r="273" ht="15" customHeight="1" s="25">
      <c r="E273" s="39" t="n"/>
      <c r="F273" s="39" t="n"/>
      <c r="G273" s="39">
        <f>IF(AND(E273="",F273=""),"",MAX(ABS(E273),ABS(F273)))</f>
        <v/>
      </c>
      <c r="M273" s="40" t="n"/>
    </row>
    <row r="274" ht="15" customHeight="1" s="25">
      <c r="E274" s="39" t="n"/>
      <c r="F274" s="39" t="n"/>
      <c r="G274" s="39">
        <f>IF(AND(E274="",F274=""),"",MAX(ABS(E274),ABS(F274)))</f>
        <v/>
      </c>
      <c r="M274" s="40" t="n"/>
    </row>
    <row r="275" ht="15" customHeight="1" s="25">
      <c r="E275" s="39" t="n"/>
      <c r="F275" s="39" t="n"/>
      <c r="G275" s="39">
        <f>IF(AND(E275="",F275=""),"",MAX(ABS(E275),ABS(F275)))</f>
        <v/>
      </c>
      <c r="M275" s="40" t="n"/>
    </row>
    <row r="276" ht="15" customHeight="1" s="25">
      <c r="E276" s="39" t="n"/>
      <c r="F276" s="39" t="n"/>
      <c r="G276" s="39">
        <f>IF(AND(E276="",F276=""),"",MAX(ABS(E276),ABS(F276)))</f>
        <v/>
      </c>
      <c r="M276" s="40" t="n"/>
    </row>
    <row r="277" ht="15" customHeight="1" s="25">
      <c r="E277" s="39" t="n"/>
      <c r="F277" s="39" t="n"/>
      <c r="G277" s="39">
        <f>IF(AND(E277="",F277=""),"",MAX(ABS(E277),ABS(F277)))</f>
        <v/>
      </c>
      <c r="M277" s="40" t="n"/>
    </row>
    <row r="278" ht="15" customHeight="1" s="25">
      <c r="E278" s="39" t="n"/>
      <c r="F278" s="39" t="n"/>
      <c r="G278" s="39">
        <f>IF(AND(E278="",F278=""),"",MAX(ABS(E278),ABS(F278)))</f>
        <v/>
      </c>
      <c r="M278" s="40" t="n"/>
    </row>
    <row r="279" ht="15" customHeight="1" s="25">
      <c r="E279" s="39" t="n"/>
      <c r="F279" s="39" t="n"/>
      <c r="G279" s="39">
        <f>IF(AND(E279="",F279=""),"",MAX(ABS(E279),ABS(F279)))</f>
        <v/>
      </c>
      <c r="M279" s="40" t="n"/>
    </row>
    <row r="280" ht="15" customHeight="1" s="25">
      <c r="E280" s="39" t="n"/>
      <c r="F280" s="39" t="n"/>
      <c r="G280" s="39">
        <f>IF(AND(E280="",F280=""),"",MAX(ABS(E280),ABS(F280)))</f>
        <v/>
      </c>
      <c r="M280" s="40" t="n"/>
    </row>
    <row r="281" ht="15" customHeight="1" s="25">
      <c r="E281" s="39" t="n"/>
      <c r="F281" s="39" t="n"/>
      <c r="G281" s="39">
        <f>IF(AND(E281="",F281=""),"",MAX(ABS(E281),ABS(F281)))</f>
        <v/>
      </c>
      <c r="M281" s="40" t="n"/>
    </row>
    <row r="282" ht="15" customHeight="1" s="25">
      <c r="E282" s="39" t="n"/>
      <c r="F282" s="39" t="n"/>
      <c r="G282" s="39">
        <f>IF(AND(E282="",F282=""),"",MAX(ABS(E282),ABS(F282)))</f>
        <v/>
      </c>
      <c r="M282" s="40" t="n"/>
    </row>
    <row r="283" ht="15" customHeight="1" s="25">
      <c r="E283" s="39" t="n"/>
      <c r="F283" s="39" t="n"/>
      <c r="G283" s="39">
        <f>IF(AND(E283="",F283=""),"",MAX(ABS(E283),ABS(F283)))</f>
        <v/>
      </c>
      <c r="M283" s="40" t="n"/>
    </row>
    <row r="284" ht="15" customHeight="1" s="25">
      <c r="E284" s="39" t="n"/>
      <c r="F284" s="39" t="n"/>
      <c r="G284" s="39">
        <f>IF(AND(E284="",F284=""),"",MAX(ABS(E284),ABS(F284)))</f>
        <v/>
      </c>
      <c r="M284" s="40" t="n"/>
    </row>
    <row r="285" ht="15" customHeight="1" s="25">
      <c r="E285" s="39" t="n"/>
      <c r="F285" s="39" t="n"/>
      <c r="G285" s="39">
        <f>IF(AND(E285="",F285=""),"",MAX(ABS(E285),ABS(F285)))</f>
        <v/>
      </c>
      <c r="M285" s="40" t="n"/>
    </row>
    <row r="286" ht="15" customHeight="1" s="25">
      <c r="E286" s="39" t="n"/>
      <c r="F286" s="39" t="n"/>
      <c r="G286" s="39">
        <f>IF(AND(E286="",F286=""),"",MAX(ABS(E286),ABS(F286)))</f>
        <v/>
      </c>
      <c r="M286" s="40" t="n"/>
    </row>
    <row r="287" ht="15" customHeight="1" s="25">
      <c r="E287" s="39" t="n"/>
      <c r="F287" s="39" t="n"/>
      <c r="G287" s="39">
        <f>IF(AND(E287="",F287=""),"",MAX(ABS(E287),ABS(F287)))</f>
        <v/>
      </c>
      <c r="M287" s="40" t="n"/>
    </row>
    <row r="288" ht="15" customHeight="1" s="25">
      <c r="E288" s="39" t="n"/>
      <c r="F288" s="39" t="n"/>
      <c r="G288" s="39">
        <f>IF(AND(E288="",F288=""),"",MAX(ABS(E288),ABS(F288)))</f>
        <v/>
      </c>
      <c r="M288" s="40" t="n"/>
    </row>
    <row r="289" ht="15" customHeight="1" s="25">
      <c r="E289" s="39" t="n"/>
      <c r="F289" s="39" t="n"/>
      <c r="G289" s="39">
        <f>IF(AND(E289="",F289=""),"",MAX(ABS(E289),ABS(F289)))</f>
        <v/>
      </c>
      <c r="M289" s="40" t="n"/>
    </row>
    <row r="290" ht="15" customHeight="1" s="25">
      <c r="E290" s="39" t="n"/>
      <c r="F290" s="39" t="n"/>
      <c r="G290" s="39">
        <f>IF(AND(E290="",F290=""),"",MAX(ABS(E290),ABS(F290)))</f>
        <v/>
      </c>
      <c r="M290" s="40" t="n"/>
    </row>
    <row r="291" ht="15" customHeight="1" s="25">
      <c r="E291" s="39" t="n"/>
      <c r="F291" s="39" t="n"/>
      <c r="G291" s="39">
        <f>IF(AND(E291="",F291=""),"",MAX(ABS(E291),ABS(F291)))</f>
        <v/>
      </c>
      <c r="M291" s="40" t="n"/>
    </row>
    <row r="292" ht="15" customHeight="1" s="25">
      <c r="E292" s="39" t="n"/>
      <c r="F292" s="39" t="n"/>
      <c r="G292" s="39">
        <f>IF(AND(E292="",F292=""),"",MAX(ABS(E292),ABS(F292)))</f>
        <v/>
      </c>
      <c r="M292" s="40" t="n"/>
    </row>
    <row r="293" ht="15" customHeight="1" s="25">
      <c r="E293" s="39" t="n"/>
      <c r="F293" s="39" t="n"/>
      <c r="G293" s="39">
        <f>IF(AND(E293="",F293=""),"",MAX(ABS(E293),ABS(F293)))</f>
        <v/>
      </c>
      <c r="M293" s="40" t="n"/>
    </row>
    <row r="294" ht="15" customHeight="1" s="25">
      <c r="E294" s="39" t="n"/>
      <c r="F294" s="39" t="n"/>
      <c r="G294" s="39">
        <f>IF(AND(E294="",F294=""),"",MAX(ABS(E294),ABS(F294)))</f>
        <v/>
      </c>
      <c r="M294" s="40" t="n"/>
    </row>
    <row r="295" ht="15" customHeight="1" s="25">
      <c r="E295" s="39" t="n"/>
      <c r="F295" s="39" t="n"/>
      <c r="G295" s="39">
        <f>IF(AND(E295="",F295=""),"",MAX(ABS(E295),ABS(F295)))</f>
        <v/>
      </c>
      <c r="M295" s="40" t="n"/>
    </row>
    <row r="296" ht="15" customHeight="1" s="25">
      <c r="E296" s="39" t="n"/>
      <c r="F296" s="39" t="n"/>
      <c r="G296" s="39">
        <f>IF(AND(E296="",F296=""),"",MAX(ABS(E296),ABS(F296)))</f>
        <v/>
      </c>
      <c r="M296" s="40" t="n"/>
    </row>
    <row r="297" ht="15" customHeight="1" s="25">
      <c r="E297" s="39" t="n"/>
      <c r="F297" s="39" t="n"/>
      <c r="G297" s="39">
        <f>IF(AND(E297="",F297=""),"",MAX(ABS(E297),ABS(F297)))</f>
        <v/>
      </c>
      <c r="M297" s="40" t="n"/>
    </row>
    <row r="298" ht="15" customHeight="1" s="25">
      <c r="E298" s="39" t="n"/>
      <c r="F298" s="39" t="n"/>
      <c r="G298" s="39">
        <f>IF(AND(E298="",F298=""),"",MAX(ABS(E298),ABS(F298)))</f>
        <v/>
      </c>
      <c r="M298" s="40" t="n"/>
    </row>
    <row r="299" ht="15" customHeight="1" s="25">
      <c r="E299" s="39" t="n"/>
      <c r="F299" s="39" t="n"/>
      <c r="G299" s="39">
        <f>IF(AND(E299="",F299=""),"",MAX(ABS(E299),ABS(F299)))</f>
        <v/>
      </c>
      <c r="M299" s="40" t="n"/>
    </row>
    <row r="300" ht="15" customHeight="1" s="25">
      <c r="E300" s="39" t="n"/>
      <c r="F300" s="39" t="n"/>
      <c r="G300" s="39">
        <f>IF(AND(E300="",F300=""),"",MAX(ABS(E300),ABS(F300)))</f>
        <v/>
      </c>
      <c r="M300" s="40" t="n"/>
    </row>
    <row r="301" ht="15" customHeight="1" s="25">
      <c r="E301" s="39" t="n"/>
      <c r="F301" s="39" t="n"/>
      <c r="G301" s="39">
        <f>IF(AND(E301="",F301=""),"",MAX(ABS(E301),ABS(F301)))</f>
        <v/>
      </c>
      <c r="M301" s="40" t="n"/>
    </row>
    <row r="302" ht="15" customHeight="1" s="25">
      <c r="E302" s="39" t="n"/>
      <c r="F302" s="39" t="n"/>
      <c r="G302" s="39">
        <f>IF(AND(E302="",F302=""),"",MAX(ABS(E302),ABS(F302)))</f>
        <v/>
      </c>
      <c r="M302" s="40" t="n"/>
    </row>
    <row r="303" ht="15" customHeight="1" s="25">
      <c r="E303" s="39" t="n"/>
      <c r="F303" s="39" t="n"/>
      <c r="G303" s="39">
        <f>IF(AND(E303="",F303=""),"",MAX(ABS(E303),ABS(F303)))</f>
        <v/>
      </c>
      <c r="M303" s="40" t="n"/>
    </row>
    <row r="304" ht="15" customHeight="1" s="25">
      <c r="E304" s="39" t="n"/>
      <c r="F304" s="39" t="n"/>
      <c r="G304" s="39">
        <f>IF(AND(E304="",F304=""),"",MAX(ABS(E304),ABS(F304)))</f>
        <v/>
      </c>
      <c r="M304" s="40" t="n"/>
    </row>
    <row r="305" ht="15" customHeight="1" s="25">
      <c r="E305" s="39" t="n"/>
      <c r="F305" s="39" t="n"/>
      <c r="G305" s="39">
        <f>IF(AND(E305="",F305=""),"",MAX(ABS(E305),ABS(F305)))</f>
        <v/>
      </c>
      <c r="M305" s="40" t="n"/>
    </row>
    <row r="306" ht="15" customHeight="1" s="25">
      <c r="E306" s="39" t="n"/>
      <c r="F306" s="39" t="n"/>
      <c r="G306" s="39">
        <f>IF(AND(E306="",F306=""),"",MAX(ABS(E306),ABS(F306)))</f>
        <v/>
      </c>
      <c r="M306" s="40" t="n"/>
    </row>
    <row r="307" ht="15" customHeight="1" s="25">
      <c r="E307" s="39" t="n"/>
      <c r="F307" s="39" t="n"/>
      <c r="G307" s="39">
        <f>IF(AND(E307="",F307=""),"",MAX(ABS(E307),ABS(F307)))</f>
        <v/>
      </c>
      <c r="M307" s="40" t="n"/>
    </row>
    <row r="308" ht="15" customHeight="1" s="25">
      <c r="E308" s="39" t="n"/>
      <c r="F308" s="39" t="n"/>
      <c r="G308" s="39">
        <f>IF(AND(E308="",F308=""),"",MAX(ABS(E308),ABS(F308)))</f>
        <v/>
      </c>
      <c r="M308" s="40" t="n"/>
    </row>
    <row r="309" ht="15" customHeight="1" s="25">
      <c r="E309" s="39" t="n"/>
      <c r="F309" s="39" t="n"/>
      <c r="G309" s="39">
        <f>IF(AND(E309="",F309=""),"",MAX(ABS(E309),ABS(F309)))</f>
        <v/>
      </c>
      <c r="M309" s="40" t="n"/>
    </row>
    <row r="310" ht="15" customHeight="1" s="25">
      <c r="E310" s="39" t="n"/>
      <c r="F310" s="39" t="n"/>
      <c r="G310" s="39">
        <f>IF(AND(E310="",F310=""),"",MAX(ABS(E310),ABS(F310)))</f>
        <v/>
      </c>
      <c r="M310" s="40" t="n"/>
    </row>
    <row r="311" ht="15" customHeight="1" s="25">
      <c r="E311" s="39" t="n"/>
      <c r="F311" s="39" t="n"/>
      <c r="G311" s="39">
        <f>IF(AND(E311="",F311=""),"",MAX(ABS(E311),ABS(F311)))</f>
        <v/>
      </c>
      <c r="M311" s="40" t="n"/>
    </row>
    <row r="312" ht="15" customHeight="1" s="25">
      <c r="E312" s="39" t="n"/>
      <c r="F312" s="39" t="n"/>
      <c r="G312" s="39">
        <f>IF(AND(E312="",F312=""),"",MAX(ABS(E312),ABS(F312)))</f>
        <v/>
      </c>
      <c r="M312" s="40" t="n"/>
    </row>
    <row r="313" ht="15" customHeight="1" s="25">
      <c r="E313" s="39" t="n"/>
      <c r="F313" s="39" t="n"/>
      <c r="G313" s="39">
        <f>IF(AND(E313="",F313=""),"",MAX(ABS(E313),ABS(F313)))</f>
        <v/>
      </c>
      <c r="M313" s="40" t="n"/>
    </row>
    <row r="314" ht="15" customHeight="1" s="25">
      <c r="E314" s="39" t="n"/>
      <c r="F314" s="39" t="n"/>
      <c r="G314" s="39">
        <f>IF(AND(E314="",F314=""),"",MAX(ABS(E314),ABS(F314)))</f>
        <v/>
      </c>
      <c r="M314" s="40" t="n"/>
    </row>
    <row r="315" ht="15" customHeight="1" s="25">
      <c r="E315" s="39" t="n"/>
      <c r="F315" s="39" t="n"/>
      <c r="G315" s="39">
        <f>IF(AND(E315="",F315=""),"",MAX(ABS(E315),ABS(F315)))</f>
        <v/>
      </c>
      <c r="M315" s="40" t="n"/>
    </row>
    <row r="316" ht="15" customHeight="1" s="25">
      <c r="E316" s="39" t="n"/>
      <c r="F316" s="39" t="n"/>
      <c r="G316" s="39">
        <f>IF(AND(E316="",F316=""),"",MAX(ABS(E316),ABS(F316)))</f>
        <v/>
      </c>
      <c r="M316" s="40" t="n"/>
    </row>
    <row r="317" ht="15" customHeight="1" s="25">
      <c r="E317" s="39" t="n"/>
      <c r="F317" s="39" t="n"/>
      <c r="G317" s="39">
        <f>IF(AND(E317="",F317=""),"",MAX(ABS(E317),ABS(F317)))</f>
        <v/>
      </c>
      <c r="M317" s="40" t="n"/>
    </row>
    <row r="318" ht="15" customHeight="1" s="25">
      <c r="E318" s="39" t="n"/>
      <c r="F318" s="39" t="n"/>
      <c r="G318" s="39">
        <f>IF(AND(E318="",F318=""),"",MAX(ABS(E318),ABS(F318)))</f>
        <v/>
      </c>
      <c r="M318" s="40" t="n"/>
    </row>
    <row r="319" ht="15" customHeight="1" s="25">
      <c r="E319" s="39" t="n"/>
      <c r="F319" s="39" t="n"/>
      <c r="G319" s="39">
        <f>IF(AND(E319="",F319=""),"",MAX(ABS(E319),ABS(F319)))</f>
        <v/>
      </c>
      <c r="M319" s="40" t="n"/>
    </row>
    <row r="320" ht="15" customHeight="1" s="25">
      <c r="E320" s="39" t="n"/>
      <c r="F320" s="39" t="n"/>
      <c r="G320" s="39">
        <f>IF(AND(E320="",F320=""),"",MAX(ABS(E320),ABS(F320)))</f>
        <v/>
      </c>
      <c r="M320" s="40" t="n"/>
    </row>
    <row r="321" ht="15" customHeight="1" s="25">
      <c r="E321" s="39" t="n"/>
      <c r="F321" s="39" t="n"/>
      <c r="G321" s="39">
        <f>IF(AND(E321="",F321=""),"",MAX(ABS(E321),ABS(F321)))</f>
        <v/>
      </c>
      <c r="M321" s="40" t="n"/>
    </row>
    <row r="322" ht="15" customHeight="1" s="25">
      <c r="E322" s="39" t="n"/>
      <c r="F322" s="39" t="n"/>
      <c r="G322" s="39">
        <f>IF(AND(E322="",F322=""),"",MAX(ABS(E322),ABS(F322)))</f>
        <v/>
      </c>
      <c r="M322" s="40" t="n"/>
    </row>
    <row r="323" ht="15" customHeight="1" s="25">
      <c r="E323" s="39" t="n"/>
      <c r="F323" s="39" t="n"/>
      <c r="G323" s="39">
        <f>IF(AND(E323="",F323=""),"",MAX(ABS(E323),ABS(F323)))</f>
        <v/>
      </c>
      <c r="M323" s="40" t="n"/>
    </row>
    <row r="324" ht="15" customHeight="1" s="25">
      <c r="E324" s="39" t="n"/>
      <c r="F324" s="39" t="n"/>
      <c r="G324" s="39">
        <f>IF(AND(E324="",F324=""),"",MAX(ABS(E324),ABS(F324)))</f>
        <v/>
      </c>
      <c r="M324" s="40" t="n"/>
    </row>
    <row r="325" ht="15" customHeight="1" s="25">
      <c r="E325" s="39" t="n"/>
      <c r="F325" s="39" t="n"/>
      <c r="G325" s="39">
        <f>IF(AND(E325="",F325=""),"",MAX(ABS(E325),ABS(F325)))</f>
        <v/>
      </c>
      <c r="M325" s="40" t="n"/>
    </row>
    <row r="326" ht="15" customHeight="1" s="25">
      <c r="E326" s="39" t="n"/>
      <c r="F326" s="39" t="n"/>
      <c r="G326" s="39">
        <f>IF(AND(E326="",F326=""),"",MAX(ABS(E326),ABS(F326)))</f>
        <v/>
      </c>
      <c r="M326" s="40" t="n"/>
    </row>
    <row r="327" ht="15" customHeight="1" s="25">
      <c r="E327" s="39" t="n"/>
      <c r="F327" s="39" t="n"/>
      <c r="G327" s="39">
        <f>IF(AND(E327="",F327=""),"",MAX(ABS(E327),ABS(F327)))</f>
        <v/>
      </c>
      <c r="M327" s="40" t="n"/>
    </row>
    <row r="328" ht="15" customHeight="1" s="25">
      <c r="E328" s="39" t="n"/>
      <c r="F328" s="39" t="n"/>
      <c r="G328" s="39">
        <f>IF(AND(E328="",F328=""),"",MAX(ABS(E328),ABS(F328)))</f>
        <v/>
      </c>
      <c r="M328" s="40" t="n"/>
    </row>
    <row r="329" ht="15" customHeight="1" s="25">
      <c r="E329" s="39" t="n"/>
      <c r="F329" s="39" t="n"/>
      <c r="G329" s="39">
        <f>IF(AND(E329="",F329=""),"",MAX(ABS(E329),ABS(F329)))</f>
        <v/>
      </c>
      <c r="M329" s="40" t="n"/>
    </row>
    <row r="330" ht="15" customHeight="1" s="25">
      <c r="E330" s="39" t="n"/>
      <c r="F330" s="39" t="n"/>
      <c r="G330" s="39">
        <f>IF(AND(E330="",F330=""),"",MAX(ABS(E330),ABS(F330)))</f>
        <v/>
      </c>
      <c r="M330" s="40" t="n"/>
    </row>
    <row r="331" ht="15" customHeight="1" s="25">
      <c r="E331" s="39" t="n"/>
      <c r="F331" s="39" t="n"/>
      <c r="G331" s="39">
        <f>IF(AND(E331="",F331=""),"",MAX(ABS(E331),ABS(F331)))</f>
        <v/>
      </c>
      <c r="M331" s="40" t="n"/>
    </row>
    <row r="332" ht="15" customHeight="1" s="25">
      <c r="E332" s="39" t="n"/>
      <c r="F332" s="39" t="n"/>
      <c r="G332" s="39">
        <f>IF(AND(E332="",F332=""),"",MAX(ABS(E332),ABS(F332)))</f>
        <v/>
      </c>
      <c r="M332" s="40" t="n"/>
    </row>
    <row r="333" ht="15" customHeight="1" s="25">
      <c r="E333" s="39" t="n"/>
      <c r="F333" s="39" t="n"/>
      <c r="G333" s="39">
        <f>IF(AND(E333="",F333=""),"",MAX(ABS(E333),ABS(F333)))</f>
        <v/>
      </c>
      <c r="M333" s="40" t="n"/>
    </row>
    <row r="334" ht="15" customHeight="1" s="25">
      <c r="E334" s="39" t="n"/>
      <c r="F334" s="39" t="n"/>
      <c r="G334" s="39">
        <f>IF(AND(E334="",F334=""),"",MAX(ABS(E334),ABS(F334)))</f>
        <v/>
      </c>
      <c r="M334" s="40" t="n"/>
    </row>
    <row r="335" ht="15" customHeight="1" s="25">
      <c r="E335" s="39" t="n"/>
      <c r="F335" s="39" t="n"/>
      <c r="G335" s="39">
        <f>IF(AND(E335="",F335=""),"",MAX(ABS(E335),ABS(F335)))</f>
        <v/>
      </c>
      <c r="M335" s="40" t="n"/>
    </row>
    <row r="336" ht="15" customHeight="1" s="25">
      <c r="E336" s="39" t="n"/>
      <c r="F336" s="39" t="n"/>
      <c r="G336" s="39">
        <f>IF(AND(E336="",F336=""),"",MAX(ABS(E336),ABS(F336)))</f>
        <v/>
      </c>
      <c r="M336" s="40" t="n"/>
    </row>
    <row r="337" ht="15" customHeight="1" s="25">
      <c r="E337" s="39" t="n"/>
      <c r="F337" s="39" t="n"/>
      <c r="G337" s="39">
        <f>IF(AND(E337="",F337=""),"",MAX(ABS(E337),ABS(F337)))</f>
        <v/>
      </c>
      <c r="M337" s="40" t="n"/>
    </row>
    <row r="338" ht="15" customHeight="1" s="25">
      <c r="E338" s="39" t="n"/>
      <c r="F338" s="39" t="n"/>
      <c r="G338" s="39">
        <f>IF(AND(E338="",F338=""),"",MAX(ABS(E338),ABS(F338)))</f>
        <v/>
      </c>
      <c r="M338" s="40" t="n"/>
    </row>
    <row r="339" ht="15" customHeight="1" s="25">
      <c r="E339" s="39" t="n"/>
      <c r="F339" s="39" t="n"/>
      <c r="G339" s="39">
        <f>IF(AND(E339="",F339=""),"",MAX(ABS(E339),ABS(F339)))</f>
        <v/>
      </c>
      <c r="M339" s="40" t="n"/>
    </row>
    <row r="340" ht="15" customHeight="1" s="25">
      <c r="E340" s="39" t="n"/>
      <c r="F340" s="39" t="n"/>
      <c r="G340" s="39">
        <f>IF(AND(E340="",F340=""),"",MAX(ABS(E340),ABS(F340)))</f>
        <v/>
      </c>
      <c r="M340" s="40" t="n"/>
    </row>
    <row r="341" ht="15" customHeight="1" s="25">
      <c r="E341" s="39" t="n"/>
      <c r="F341" s="39" t="n"/>
      <c r="G341" s="39">
        <f>IF(AND(E341="",F341=""),"",MAX(ABS(E341),ABS(F341)))</f>
        <v/>
      </c>
      <c r="M341" s="40" t="n"/>
    </row>
    <row r="342" ht="15" customHeight="1" s="25">
      <c r="E342" s="39" t="n"/>
      <c r="F342" s="39" t="n"/>
      <c r="G342" s="39">
        <f>IF(AND(E342="",F342=""),"",MAX(ABS(E342),ABS(F342)))</f>
        <v/>
      </c>
      <c r="M342" s="40" t="n"/>
    </row>
    <row r="343" ht="15" customHeight="1" s="25">
      <c r="E343" s="39" t="n"/>
      <c r="F343" s="39" t="n"/>
      <c r="G343" s="39">
        <f>IF(AND(E343="",F343=""),"",MAX(ABS(E343),ABS(F343)))</f>
        <v/>
      </c>
      <c r="M343" s="40" t="n"/>
    </row>
    <row r="344" ht="15" customHeight="1" s="25">
      <c r="E344" s="39" t="n"/>
      <c r="F344" s="39" t="n"/>
      <c r="G344" s="39">
        <f>IF(AND(E344="",F344=""),"",MAX(ABS(E344),ABS(F344)))</f>
        <v/>
      </c>
      <c r="M344" s="40" t="n"/>
    </row>
    <row r="345" ht="15" customHeight="1" s="25">
      <c r="E345" s="39" t="n"/>
      <c r="F345" s="39" t="n"/>
      <c r="G345" s="39">
        <f>IF(AND(E345="",F345=""),"",MAX(ABS(E345),ABS(F345)))</f>
        <v/>
      </c>
      <c r="M345" s="40" t="n"/>
    </row>
    <row r="346" ht="15" customHeight="1" s="25">
      <c r="E346" s="39" t="n"/>
      <c r="F346" s="39" t="n"/>
      <c r="G346" s="39">
        <f>IF(AND(E346="",F346=""),"",MAX(ABS(E346),ABS(F346)))</f>
        <v/>
      </c>
      <c r="M346" s="40" t="n"/>
    </row>
    <row r="347" ht="15" customHeight="1" s="25">
      <c r="E347" s="39" t="n"/>
      <c r="F347" s="39" t="n"/>
      <c r="G347" s="39">
        <f>IF(AND(E347="",F347=""),"",MAX(ABS(E347),ABS(F347)))</f>
        <v/>
      </c>
      <c r="M347" s="40" t="n"/>
    </row>
    <row r="348" ht="15" customHeight="1" s="25">
      <c r="E348" s="39" t="n"/>
      <c r="F348" s="39" t="n"/>
      <c r="G348" s="39">
        <f>IF(AND(E348="",F348=""),"",MAX(ABS(E348),ABS(F348)))</f>
        <v/>
      </c>
      <c r="M348" s="40" t="n"/>
    </row>
    <row r="349" ht="15" customHeight="1" s="25">
      <c r="E349" s="39" t="n"/>
      <c r="F349" s="39" t="n"/>
      <c r="G349" s="39">
        <f>IF(AND(E349="",F349=""),"",MAX(ABS(E349),ABS(F349)))</f>
        <v/>
      </c>
      <c r="M349" s="40" t="n"/>
    </row>
    <row r="350" ht="15" customHeight="1" s="25">
      <c r="E350" s="39" t="n"/>
      <c r="F350" s="39" t="n"/>
      <c r="G350" s="39">
        <f>IF(AND(E350="",F350=""),"",MAX(ABS(E350),ABS(F350)))</f>
        <v/>
      </c>
      <c r="M350" s="40" t="n"/>
    </row>
    <row r="351" ht="15" customHeight="1" s="25">
      <c r="E351" s="39" t="n"/>
      <c r="F351" s="39" t="n"/>
      <c r="G351" s="39">
        <f>IF(AND(E351="",F351=""),"",MAX(ABS(E351),ABS(F351)))</f>
        <v/>
      </c>
      <c r="M351" s="40" t="n"/>
    </row>
    <row r="352" ht="15" customHeight="1" s="25">
      <c r="E352" s="39" t="n"/>
      <c r="F352" s="39" t="n"/>
      <c r="G352" s="39">
        <f>IF(AND(E352="",F352=""),"",MAX(ABS(E352),ABS(F352)))</f>
        <v/>
      </c>
      <c r="M352" s="40" t="n"/>
    </row>
    <row r="353" ht="15" customHeight="1" s="25">
      <c r="E353" s="39" t="n"/>
      <c r="F353" s="39" t="n"/>
      <c r="G353" s="39">
        <f>IF(AND(E353="",F353=""),"",MAX(ABS(E353),ABS(F353)))</f>
        <v/>
      </c>
      <c r="M353" s="40" t="n"/>
    </row>
    <row r="354" ht="15" customHeight="1" s="25">
      <c r="E354" s="39" t="n"/>
      <c r="F354" s="39" t="n"/>
      <c r="G354" s="39">
        <f>IF(AND(E354="",F354=""),"",MAX(ABS(E354),ABS(F354)))</f>
        <v/>
      </c>
      <c r="M354" s="40" t="n"/>
    </row>
    <row r="355" ht="15" customHeight="1" s="25">
      <c r="E355" s="39" t="n"/>
      <c r="F355" s="39" t="n"/>
      <c r="G355" s="39">
        <f>IF(AND(E355="",F355=""),"",MAX(ABS(E355),ABS(F355)))</f>
        <v/>
      </c>
      <c r="M355" s="40" t="n"/>
    </row>
    <row r="356" ht="15" customHeight="1" s="25">
      <c r="E356" s="39" t="n"/>
      <c r="F356" s="39" t="n"/>
      <c r="G356" s="39">
        <f>IF(AND(E356="",F356=""),"",MAX(ABS(E356),ABS(F356)))</f>
        <v/>
      </c>
      <c r="M356" s="40" t="n"/>
    </row>
    <row r="357" ht="15" customHeight="1" s="25">
      <c r="E357" s="39" t="n"/>
      <c r="F357" s="39" t="n"/>
      <c r="G357" s="39">
        <f>IF(AND(E357="",F357=""),"",MAX(ABS(E357),ABS(F357)))</f>
        <v/>
      </c>
      <c r="M357" s="40" t="n"/>
    </row>
    <row r="358" ht="15" customHeight="1" s="25">
      <c r="E358" s="39" t="n"/>
      <c r="F358" s="39" t="n"/>
      <c r="G358" s="39">
        <f>IF(AND(E358="",F358=""),"",MAX(ABS(E358),ABS(F358)))</f>
        <v/>
      </c>
      <c r="M358" s="40" t="n"/>
    </row>
    <row r="359" ht="15" customHeight="1" s="25">
      <c r="E359" s="39" t="n"/>
      <c r="F359" s="39" t="n"/>
      <c r="G359" s="39">
        <f>IF(AND(E359="",F359=""),"",MAX(ABS(E359),ABS(F359)))</f>
        <v/>
      </c>
      <c r="M359" s="40" t="n"/>
    </row>
    <row r="360" ht="15" customHeight="1" s="25">
      <c r="E360" s="39" t="n"/>
      <c r="F360" s="39" t="n"/>
      <c r="G360" s="39">
        <f>IF(AND(E360="",F360=""),"",MAX(ABS(E360),ABS(F360)))</f>
        <v/>
      </c>
      <c r="M360" s="40" t="n"/>
    </row>
    <row r="361" ht="15" customHeight="1" s="25">
      <c r="E361" s="39" t="n"/>
      <c r="F361" s="39" t="n"/>
      <c r="G361" s="39">
        <f>IF(AND(E361="",F361=""),"",MAX(ABS(E361),ABS(F361)))</f>
        <v/>
      </c>
      <c r="M361" s="40" t="n"/>
    </row>
    <row r="362" ht="15" customHeight="1" s="25">
      <c r="E362" s="39" t="n"/>
      <c r="F362" s="39" t="n"/>
      <c r="G362" s="39">
        <f>IF(AND(E362="",F362=""),"",MAX(ABS(E362),ABS(F362)))</f>
        <v/>
      </c>
      <c r="M362" s="40" t="n"/>
    </row>
    <row r="363" ht="15" customHeight="1" s="25">
      <c r="E363" s="39" t="n"/>
      <c r="F363" s="39" t="n"/>
      <c r="G363" s="39">
        <f>IF(AND(E363="",F363=""),"",MAX(ABS(E363),ABS(F363)))</f>
        <v/>
      </c>
      <c r="M363" s="40" t="n"/>
    </row>
    <row r="364" ht="15" customHeight="1" s="25">
      <c r="E364" s="39" t="n"/>
      <c r="F364" s="39" t="n"/>
      <c r="G364" s="39">
        <f>IF(AND(E364="",F364=""),"",MAX(ABS(E364),ABS(F364)))</f>
        <v/>
      </c>
      <c r="M364" s="40" t="n"/>
    </row>
    <row r="365" ht="15" customHeight="1" s="25">
      <c r="E365" s="39" t="n"/>
      <c r="F365" s="39" t="n"/>
      <c r="G365" s="39">
        <f>IF(AND(E365="",F365=""),"",MAX(ABS(E365),ABS(F365)))</f>
        <v/>
      </c>
      <c r="M365" s="40" t="n"/>
    </row>
    <row r="366" ht="15" customHeight="1" s="25">
      <c r="E366" s="39" t="n"/>
      <c r="F366" s="39" t="n"/>
      <c r="G366" s="39">
        <f>IF(AND(E366="",F366=""),"",MAX(ABS(E366),ABS(F366)))</f>
        <v/>
      </c>
      <c r="M366" s="40" t="n"/>
    </row>
    <row r="367" ht="15" customHeight="1" s="25">
      <c r="E367" s="39" t="n"/>
      <c r="F367" s="39" t="n"/>
      <c r="G367" s="39">
        <f>IF(AND(E367="",F367=""),"",MAX(ABS(E367),ABS(F367)))</f>
        <v/>
      </c>
      <c r="M367" s="40" t="n"/>
    </row>
    <row r="368" ht="15" customHeight="1" s="25">
      <c r="E368" s="39" t="n"/>
      <c r="F368" s="39" t="n"/>
      <c r="G368" s="39">
        <f>IF(AND(E368="",F368=""),"",MAX(ABS(E368),ABS(F368)))</f>
        <v/>
      </c>
      <c r="M368" s="40" t="n"/>
    </row>
    <row r="369" ht="15" customHeight="1" s="25">
      <c r="E369" s="39" t="n"/>
      <c r="F369" s="39" t="n"/>
      <c r="G369" s="39">
        <f>IF(AND(E369="",F369=""),"",MAX(ABS(E369),ABS(F369)))</f>
        <v/>
      </c>
      <c r="M369" s="40" t="n"/>
    </row>
    <row r="370" ht="15" customHeight="1" s="25">
      <c r="E370" s="39" t="n"/>
      <c r="F370" s="39" t="n"/>
      <c r="G370" s="39">
        <f>IF(AND(E370="",F370=""),"",MAX(ABS(E370),ABS(F370)))</f>
        <v/>
      </c>
      <c r="M370" s="40" t="n"/>
    </row>
    <row r="371" ht="15" customHeight="1" s="25">
      <c r="E371" s="39" t="n"/>
      <c r="F371" s="39" t="n"/>
      <c r="G371" s="39">
        <f>IF(AND(E371="",F371=""),"",MAX(ABS(E371),ABS(F371)))</f>
        <v/>
      </c>
      <c r="M371" s="40" t="n"/>
    </row>
    <row r="372" ht="15" customHeight="1" s="25">
      <c r="E372" s="39" t="n"/>
      <c r="F372" s="39" t="n"/>
      <c r="G372" s="39">
        <f>IF(AND(E372="",F372=""),"",MAX(ABS(E372),ABS(F372)))</f>
        <v/>
      </c>
      <c r="M372" s="40" t="n"/>
    </row>
    <row r="373" ht="15" customHeight="1" s="25">
      <c r="E373" s="39" t="n"/>
      <c r="F373" s="39" t="n"/>
      <c r="G373" s="39">
        <f>IF(AND(E373="",F373=""),"",MAX(ABS(E373),ABS(F373)))</f>
        <v/>
      </c>
      <c r="M373" s="40" t="n"/>
    </row>
    <row r="374" ht="15" customHeight="1" s="25">
      <c r="E374" s="39" t="n"/>
      <c r="F374" s="39" t="n"/>
      <c r="G374" s="39">
        <f>IF(AND(E374="",F374=""),"",MAX(ABS(E374),ABS(F374)))</f>
        <v/>
      </c>
      <c r="M374" s="40" t="n"/>
    </row>
    <row r="375" ht="15" customHeight="1" s="25">
      <c r="E375" s="39" t="n"/>
      <c r="F375" s="39" t="n"/>
      <c r="G375" s="39">
        <f>IF(AND(E375="",F375=""),"",MAX(ABS(E375),ABS(F375)))</f>
        <v/>
      </c>
      <c r="M375" s="40" t="n"/>
    </row>
    <row r="376" ht="15" customHeight="1" s="25">
      <c r="E376" s="39" t="n"/>
      <c r="F376" s="39" t="n"/>
      <c r="G376" s="39">
        <f>IF(AND(E376="",F376=""),"",MAX(ABS(E376),ABS(F376)))</f>
        <v/>
      </c>
      <c r="M376" s="40" t="n"/>
    </row>
    <row r="377" ht="15" customHeight="1" s="25">
      <c r="E377" s="39" t="n"/>
      <c r="F377" s="39" t="n"/>
      <c r="G377" s="39">
        <f>IF(AND(E377="",F377=""),"",MAX(ABS(E377),ABS(F377)))</f>
        <v/>
      </c>
      <c r="M377" s="40" t="n"/>
    </row>
    <row r="378" ht="15" customHeight="1" s="25">
      <c r="E378" s="39" t="n"/>
      <c r="F378" s="39" t="n"/>
      <c r="G378" s="39">
        <f>IF(AND(E378="",F378=""),"",MAX(ABS(E378),ABS(F378)))</f>
        <v/>
      </c>
      <c r="M378" s="40" t="n"/>
    </row>
    <row r="379" ht="15" customHeight="1" s="25">
      <c r="E379" s="39" t="n"/>
      <c r="F379" s="39" t="n"/>
      <c r="G379" s="39">
        <f>IF(AND(E379="",F379=""),"",MAX(ABS(E379),ABS(F379)))</f>
        <v/>
      </c>
      <c r="M379" s="40" t="n"/>
    </row>
    <row r="380" ht="15" customHeight="1" s="25">
      <c r="E380" s="39" t="n"/>
      <c r="F380" s="39" t="n"/>
      <c r="G380" s="39">
        <f>IF(AND(E380="",F380=""),"",MAX(ABS(E380),ABS(F380)))</f>
        <v/>
      </c>
      <c r="M380" s="40" t="n"/>
    </row>
    <row r="381" ht="15" customHeight="1" s="25">
      <c r="E381" s="39" t="n"/>
      <c r="F381" s="39" t="n"/>
      <c r="G381" s="39">
        <f>IF(AND(E381="",F381=""),"",MAX(ABS(E381),ABS(F381)))</f>
        <v/>
      </c>
      <c r="M381" s="40" t="n"/>
    </row>
    <row r="382" ht="15" customHeight="1" s="25">
      <c r="E382" s="39" t="n"/>
      <c r="F382" s="39" t="n"/>
      <c r="G382" s="39">
        <f>IF(AND(E382="",F382=""),"",MAX(ABS(E382),ABS(F382)))</f>
        <v/>
      </c>
      <c r="M382" s="40" t="n"/>
    </row>
    <row r="383" ht="15" customHeight="1" s="25">
      <c r="E383" s="39" t="n"/>
      <c r="F383" s="39" t="n"/>
      <c r="G383" s="39">
        <f>IF(AND(E383="",F383=""),"",MAX(ABS(E383),ABS(F383)))</f>
        <v/>
      </c>
      <c r="M383" s="40" t="n"/>
    </row>
    <row r="384" ht="15" customHeight="1" s="25">
      <c r="E384" s="39" t="n"/>
      <c r="F384" s="39" t="n"/>
      <c r="G384" s="39">
        <f>IF(AND(E384="",F384=""),"",MAX(ABS(E384),ABS(F384)))</f>
        <v/>
      </c>
      <c r="M384" s="40" t="n"/>
    </row>
    <row r="385" ht="15" customHeight="1" s="25">
      <c r="E385" s="39" t="n"/>
      <c r="F385" s="39" t="n"/>
      <c r="G385" s="39">
        <f>IF(AND(E385="",F385=""),"",MAX(ABS(E385),ABS(F385)))</f>
        <v/>
      </c>
      <c r="M385" s="40" t="n"/>
    </row>
    <row r="386" ht="15" customHeight="1" s="25">
      <c r="E386" s="39" t="n"/>
      <c r="F386" s="39" t="n"/>
      <c r="G386" s="39">
        <f>IF(AND(E386="",F386=""),"",MAX(ABS(E386),ABS(F386)))</f>
        <v/>
      </c>
      <c r="M386" s="40" t="n"/>
    </row>
    <row r="387" ht="15" customHeight="1" s="25">
      <c r="E387" s="39" t="n"/>
      <c r="F387" s="39" t="n"/>
      <c r="G387" s="39">
        <f>IF(AND(E387="",F387=""),"",MAX(ABS(E387),ABS(F387)))</f>
        <v/>
      </c>
      <c r="M387" s="40" t="n"/>
    </row>
    <row r="388" ht="15" customHeight="1" s="25">
      <c r="E388" s="39" t="n"/>
      <c r="F388" s="39" t="n"/>
      <c r="G388" s="39">
        <f>IF(AND(E388="",F388=""),"",MAX(ABS(E388),ABS(F388)))</f>
        <v/>
      </c>
      <c r="M388" s="40" t="n"/>
    </row>
    <row r="389" ht="15" customHeight="1" s="25">
      <c r="E389" s="39" t="n"/>
      <c r="F389" s="39" t="n"/>
      <c r="G389" s="39">
        <f>IF(AND(E389="",F389=""),"",MAX(ABS(E389),ABS(F389)))</f>
        <v/>
      </c>
      <c r="M389" s="40" t="n"/>
    </row>
    <row r="390" ht="15" customHeight="1" s="25">
      <c r="E390" s="39" t="n"/>
      <c r="F390" s="39" t="n"/>
      <c r="G390" s="39">
        <f>IF(AND(E390="",F390=""),"",MAX(ABS(E390),ABS(F390)))</f>
        <v/>
      </c>
      <c r="M390" s="40" t="n"/>
    </row>
    <row r="391" ht="15" customHeight="1" s="25">
      <c r="E391" s="39" t="n"/>
      <c r="F391" s="39" t="n"/>
      <c r="G391" s="39">
        <f>IF(AND(E391="",F391=""),"",MAX(ABS(E391),ABS(F391)))</f>
        <v/>
      </c>
      <c r="M391" s="40" t="n"/>
    </row>
    <row r="392" ht="15" customHeight="1" s="25">
      <c r="E392" s="39" t="n"/>
      <c r="F392" s="39" t="n"/>
      <c r="G392" s="39">
        <f>IF(AND(E392="",F392=""),"",MAX(ABS(E392),ABS(F392)))</f>
        <v/>
      </c>
      <c r="M392" s="40" t="n"/>
    </row>
    <row r="393" ht="15" customHeight="1" s="25">
      <c r="E393" s="39" t="n"/>
      <c r="F393" s="39" t="n"/>
      <c r="G393" s="39">
        <f>IF(AND(E393="",F393=""),"",MAX(ABS(E393),ABS(F393)))</f>
        <v/>
      </c>
      <c r="M393" s="40" t="n"/>
    </row>
    <row r="394" ht="15" customHeight="1" s="25">
      <c r="E394" s="39" t="n"/>
      <c r="F394" s="39" t="n"/>
      <c r="G394" s="39">
        <f>IF(AND(E394="",F394=""),"",MAX(ABS(E394),ABS(F394)))</f>
        <v/>
      </c>
      <c r="M394" s="40" t="n"/>
    </row>
    <row r="395" ht="15" customHeight="1" s="25">
      <c r="E395" s="39" t="n"/>
      <c r="F395" s="39" t="n"/>
      <c r="G395" s="39">
        <f>IF(AND(E395="",F395=""),"",MAX(ABS(E395),ABS(F395)))</f>
        <v/>
      </c>
      <c r="M395" s="40" t="n"/>
    </row>
    <row r="396" ht="15" customHeight="1" s="25">
      <c r="E396" s="39" t="n"/>
      <c r="F396" s="39" t="n"/>
      <c r="G396" s="39">
        <f>IF(AND(E396="",F396=""),"",MAX(ABS(E396),ABS(F396)))</f>
        <v/>
      </c>
      <c r="M396" s="40" t="n"/>
    </row>
    <row r="397" ht="15" customHeight="1" s="25">
      <c r="E397" s="39" t="n"/>
      <c r="F397" s="39" t="n"/>
      <c r="G397" s="39">
        <f>IF(AND(E397="",F397=""),"",MAX(ABS(E397),ABS(F397)))</f>
        <v/>
      </c>
      <c r="M397" s="40" t="n"/>
    </row>
    <row r="398" ht="15" customHeight="1" s="25">
      <c r="E398" s="39" t="n"/>
      <c r="F398" s="39" t="n"/>
      <c r="G398" s="39">
        <f>IF(AND(E398="",F398=""),"",MAX(ABS(E398),ABS(F398)))</f>
        <v/>
      </c>
      <c r="M398" s="40" t="n"/>
    </row>
    <row r="399" ht="15" customHeight="1" s="25">
      <c r="E399" s="39" t="n"/>
      <c r="F399" s="39" t="n"/>
      <c r="G399" s="39">
        <f>IF(AND(E399="",F399=""),"",MAX(ABS(E399),ABS(F399)))</f>
        <v/>
      </c>
      <c r="M399" s="40" t="n"/>
    </row>
    <row r="400" ht="15" customHeight="1" s="25">
      <c r="E400" s="39" t="n"/>
      <c r="F400" s="39" t="n"/>
      <c r="G400" s="39">
        <f>IF(AND(E400="",F400=""),"",MAX(ABS(E400),ABS(F400)))</f>
        <v/>
      </c>
      <c r="M400" s="40" t="n"/>
    </row>
    <row r="401" ht="15" customHeight="1" s="25">
      <c r="E401" s="39" t="n"/>
      <c r="F401" s="39" t="n"/>
      <c r="G401" s="39">
        <f>IF(AND(E401="",F401=""),"",MAX(ABS(E401),ABS(F401)))</f>
        <v/>
      </c>
      <c r="M401" s="40" t="n"/>
    </row>
    <row r="402" ht="15" customHeight="1" s="25">
      <c r="E402" s="39" t="n"/>
      <c r="F402" s="39" t="n"/>
      <c r="G402" s="39">
        <f>IF(AND(E402="",F402=""),"",MAX(ABS(E402),ABS(F402)))</f>
        <v/>
      </c>
      <c r="M402" s="40" t="n"/>
    </row>
    <row r="403" ht="15" customHeight="1" s="25">
      <c r="E403" s="39" t="n"/>
      <c r="F403" s="39" t="n"/>
      <c r="G403" s="39">
        <f>IF(AND(E403="",F403=""),"",MAX(ABS(E403),ABS(F403)))</f>
        <v/>
      </c>
      <c r="M403" s="40" t="n"/>
    </row>
    <row r="404" ht="15" customHeight="1" s="25">
      <c r="E404" s="39" t="n"/>
      <c r="F404" s="39" t="n"/>
      <c r="G404" s="39">
        <f>IF(AND(E404="",F404=""),"",MAX(ABS(E404),ABS(F404)))</f>
        <v/>
      </c>
      <c r="M404" s="40" t="n"/>
    </row>
    <row r="405" ht="15" customHeight="1" s="25">
      <c r="E405" s="39" t="n"/>
      <c r="F405" s="39" t="n"/>
      <c r="G405" s="39">
        <f>IF(AND(E405="",F405=""),"",MAX(ABS(E405),ABS(F405)))</f>
        <v/>
      </c>
      <c r="M405" s="40" t="n"/>
    </row>
    <row r="406" ht="15" customHeight="1" s="25">
      <c r="E406" s="39" t="n"/>
      <c r="F406" s="39" t="n"/>
      <c r="G406" s="39">
        <f>IF(AND(E406="",F406=""),"",MAX(ABS(E406),ABS(F406)))</f>
        <v/>
      </c>
      <c r="M406" s="40" t="n"/>
    </row>
    <row r="407" ht="15" customHeight="1" s="25">
      <c r="E407" s="39" t="n"/>
      <c r="F407" s="39" t="n"/>
      <c r="G407" s="39">
        <f>IF(AND(E407="",F407=""),"",MAX(ABS(E407),ABS(F407)))</f>
        <v/>
      </c>
      <c r="M407" s="40" t="n"/>
    </row>
    <row r="408" ht="15" customHeight="1" s="25">
      <c r="E408" s="39" t="n"/>
      <c r="F408" s="39" t="n"/>
      <c r="G408" s="39">
        <f>IF(AND(E408="",F408=""),"",MAX(ABS(E408),ABS(F408)))</f>
        <v/>
      </c>
      <c r="M408" s="40" t="n"/>
    </row>
    <row r="409" ht="15" customHeight="1" s="25">
      <c r="E409" s="39" t="n"/>
      <c r="F409" s="39" t="n"/>
      <c r="G409" s="39">
        <f>IF(AND(E409="",F409=""),"",MAX(ABS(E409),ABS(F409)))</f>
        <v/>
      </c>
      <c r="M409" s="40" t="n"/>
    </row>
    <row r="410" ht="15" customHeight="1" s="25">
      <c r="E410" s="39" t="n"/>
      <c r="F410" s="39" t="n"/>
      <c r="G410" s="39">
        <f>IF(AND(E410="",F410=""),"",MAX(ABS(E410),ABS(F410)))</f>
        <v/>
      </c>
      <c r="M410" s="40" t="n"/>
    </row>
    <row r="411" ht="15" customHeight="1" s="25">
      <c r="E411" s="39" t="n"/>
      <c r="F411" s="39" t="n"/>
      <c r="G411" s="39">
        <f>IF(AND(E411="",F411=""),"",MAX(ABS(E411),ABS(F411)))</f>
        <v/>
      </c>
      <c r="M411" s="40" t="n"/>
    </row>
    <row r="412" ht="15" customHeight="1" s="25">
      <c r="E412" s="39" t="n"/>
      <c r="F412" s="39" t="n"/>
      <c r="G412" s="39">
        <f>IF(AND(E412="",F412=""),"",MAX(ABS(E412),ABS(F412)))</f>
        <v/>
      </c>
      <c r="M412" s="40" t="n"/>
    </row>
    <row r="413" ht="15" customHeight="1" s="25">
      <c r="E413" s="39" t="n"/>
      <c r="F413" s="39" t="n"/>
      <c r="G413" s="39">
        <f>IF(AND(E413="",F413=""),"",MAX(ABS(E413),ABS(F413)))</f>
        <v/>
      </c>
      <c r="M413" s="40" t="n"/>
    </row>
    <row r="414" ht="15" customHeight="1" s="25">
      <c r="E414" s="39" t="n"/>
      <c r="F414" s="39" t="n"/>
      <c r="G414" s="39">
        <f>IF(AND(E414="",F414=""),"",MAX(ABS(E414),ABS(F414)))</f>
        <v/>
      </c>
      <c r="M414" s="40" t="n"/>
    </row>
    <row r="415" ht="15" customHeight="1" s="25">
      <c r="E415" s="39" t="n"/>
      <c r="F415" s="39" t="n"/>
      <c r="G415" s="39">
        <f>IF(AND(E415="",F415=""),"",MAX(ABS(E415),ABS(F415)))</f>
        <v/>
      </c>
      <c r="M415" s="40" t="n"/>
    </row>
    <row r="416" ht="15" customHeight="1" s="25">
      <c r="E416" s="39" t="n"/>
      <c r="F416" s="39" t="n"/>
      <c r="G416" s="39">
        <f>IF(AND(E416="",F416=""),"",MAX(ABS(E416),ABS(F416)))</f>
        <v/>
      </c>
      <c r="M416" s="40" t="n"/>
    </row>
    <row r="417" ht="15" customHeight="1" s="25">
      <c r="E417" s="39" t="n"/>
      <c r="F417" s="39" t="n"/>
      <c r="G417" s="39">
        <f>IF(AND(E417="",F417=""),"",MAX(ABS(E417),ABS(F417)))</f>
        <v/>
      </c>
      <c r="M417" s="40" t="n"/>
    </row>
    <row r="418" ht="15" customHeight="1" s="25">
      <c r="E418" s="39" t="n"/>
      <c r="F418" s="39" t="n"/>
      <c r="G418" s="39">
        <f>IF(AND(E418="",F418=""),"",MAX(ABS(E418),ABS(F418)))</f>
        <v/>
      </c>
      <c r="M418" s="40" t="n"/>
    </row>
    <row r="419" ht="15" customHeight="1" s="25">
      <c r="E419" s="39" t="n"/>
      <c r="F419" s="39" t="n"/>
      <c r="G419" s="39">
        <f>IF(AND(E419="",F419=""),"",MAX(ABS(E419),ABS(F419)))</f>
        <v/>
      </c>
      <c r="M419" s="40" t="n"/>
    </row>
    <row r="420" ht="15" customHeight="1" s="25">
      <c r="E420" s="39" t="n"/>
      <c r="F420" s="39" t="n"/>
      <c r="G420" s="39">
        <f>IF(AND(E420="",F420=""),"",MAX(ABS(E420),ABS(F420)))</f>
        <v/>
      </c>
      <c r="M420" s="40" t="n"/>
    </row>
    <row r="421" ht="15" customHeight="1" s="25">
      <c r="E421" s="39" t="n"/>
      <c r="F421" s="39" t="n"/>
      <c r="G421" s="39">
        <f>IF(AND(E421="",F421=""),"",MAX(ABS(E421),ABS(F421)))</f>
        <v/>
      </c>
      <c r="M421" s="40" t="n"/>
    </row>
    <row r="422" ht="15" customHeight="1" s="25">
      <c r="E422" s="39" t="n"/>
      <c r="F422" s="39" t="n"/>
      <c r="G422" s="39">
        <f>IF(AND(E422="",F422=""),"",MAX(ABS(E422),ABS(F422)))</f>
        <v/>
      </c>
      <c r="M422" s="40" t="n"/>
    </row>
    <row r="423" ht="15" customHeight="1" s="25">
      <c r="E423" s="39" t="n"/>
      <c r="F423" s="39" t="n"/>
      <c r="G423" s="39">
        <f>IF(AND(E423="",F423=""),"",MAX(ABS(E423),ABS(F423)))</f>
        <v/>
      </c>
      <c r="M423" s="40" t="n"/>
    </row>
    <row r="424" ht="15" customHeight="1" s="25">
      <c r="E424" s="39" t="n"/>
      <c r="F424" s="39" t="n"/>
      <c r="G424" s="39">
        <f>IF(AND(E424="",F424=""),"",MAX(ABS(E424),ABS(F424)))</f>
        <v/>
      </c>
      <c r="M424" s="40" t="n"/>
    </row>
    <row r="425" ht="15" customHeight="1" s="25">
      <c r="E425" s="39" t="n"/>
      <c r="F425" s="39" t="n"/>
      <c r="G425" s="39">
        <f>IF(AND(E425="",F425=""),"",MAX(ABS(E425),ABS(F425)))</f>
        <v/>
      </c>
      <c r="M425" s="40" t="n"/>
    </row>
    <row r="426" ht="15" customHeight="1" s="25">
      <c r="E426" s="39" t="n"/>
      <c r="F426" s="39" t="n"/>
      <c r="G426" s="39">
        <f>IF(AND(E426="",F426=""),"",MAX(ABS(E426),ABS(F426)))</f>
        <v/>
      </c>
      <c r="M426" s="40" t="n"/>
    </row>
    <row r="427" ht="15" customHeight="1" s="25">
      <c r="E427" s="39" t="n"/>
      <c r="F427" s="39" t="n"/>
      <c r="G427" s="39">
        <f>IF(AND(E427="",F427=""),"",MAX(ABS(E427),ABS(F427)))</f>
        <v/>
      </c>
      <c r="M427" s="40" t="n"/>
    </row>
    <row r="428" ht="15" customHeight="1" s="25">
      <c r="E428" s="39" t="n"/>
      <c r="F428" s="39" t="n"/>
      <c r="G428" s="39">
        <f>IF(AND(E428="",F428=""),"",MAX(ABS(E428),ABS(F428)))</f>
        <v/>
      </c>
      <c r="M428" s="40" t="n"/>
    </row>
    <row r="429" ht="15" customHeight="1" s="25">
      <c r="E429" s="39" t="n"/>
      <c r="F429" s="39" t="n"/>
      <c r="G429" s="39">
        <f>IF(AND(E429="",F429=""),"",MAX(ABS(E429),ABS(F429)))</f>
        <v/>
      </c>
      <c r="M429" s="40" t="n"/>
    </row>
    <row r="430" ht="15" customHeight="1" s="25">
      <c r="E430" s="39" t="n"/>
      <c r="F430" s="39" t="n"/>
      <c r="G430" s="39">
        <f>IF(AND(E430="",F430=""),"",MAX(ABS(E430),ABS(F430)))</f>
        <v/>
      </c>
      <c r="M430" s="40" t="n"/>
    </row>
    <row r="431" ht="15" customHeight="1" s="25">
      <c r="E431" s="39" t="n"/>
      <c r="F431" s="39" t="n"/>
      <c r="G431" s="39">
        <f>IF(AND(E431="",F431=""),"",MAX(ABS(E431),ABS(F431)))</f>
        <v/>
      </c>
      <c r="M431" s="40" t="n"/>
    </row>
    <row r="432" ht="15" customHeight="1" s="25">
      <c r="E432" s="39" t="n"/>
      <c r="F432" s="39" t="n"/>
      <c r="G432" s="39">
        <f>IF(AND(E432="",F432=""),"",MAX(ABS(E432),ABS(F432)))</f>
        <v/>
      </c>
      <c r="M432" s="40" t="n"/>
    </row>
    <row r="433" ht="15" customHeight="1" s="25">
      <c r="E433" s="39" t="n"/>
      <c r="F433" s="39" t="n"/>
      <c r="G433" s="39">
        <f>IF(AND(E433="",F433=""),"",MAX(ABS(E433),ABS(F433)))</f>
        <v/>
      </c>
      <c r="M433" s="40" t="n"/>
    </row>
    <row r="434" ht="15" customHeight="1" s="25">
      <c r="E434" s="39" t="n"/>
      <c r="F434" s="39" t="n"/>
      <c r="G434" s="39">
        <f>IF(AND(E434="",F434=""),"",MAX(ABS(E434),ABS(F434)))</f>
        <v/>
      </c>
      <c r="M434" s="40" t="n"/>
    </row>
    <row r="435" ht="15" customHeight="1" s="25">
      <c r="E435" s="39" t="n"/>
      <c r="F435" s="39" t="n"/>
      <c r="G435" s="39">
        <f>IF(AND(E435="",F435=""),"",MAX(ABS(E435),ABS(F435)))</f>
        <v/>
      </c>
      <c r="M435" s="40" t="n"/>
    </row>
    <row r="436" ht="15" customHeight="1" s="25">
      <c r="E436" s="39" t="n"/>
      <c r="F436" s="39" t="n"/>
      <c r="G436" s="39">
        <f>IF(AND(E436="",F436=""),"",MAX(ABS(E436),ABS(F436)))</f>
        <v/>
      </c>
      <c r="M436" s="40" t="n"/>
    </row>
    <row r="437" ht="15" customHeight="1" s="25">
      <c r="E437" s="39" t="n"/>
      <c r="F437" s="39" t="n"/>
      <c r="G437" s="39">
        <f>IF(AND(E437="",F437=""),"",MAX(ABS(E437),ABS(F437)))</f>
        <v/>
      </c>
      <c r="M437" s="40" t="n"/>
    </row>
    <row r="438" ht="15" customHeight="1" s="25">
      <c r="E438" s="39" t="n"/>
      <c r="F438" s="39" t="n"/>
      <c r="G438" s="39">
        <f>IF(AND(E438="",F438=""),"",MAX(ABS(E438),ABS(F438)))</f>
        <v/>
      </c>
      <c r="M438" s="40" t="n"/>
    </row>
    <row r="439" ht="15" customHeight="1" s="25">
      <c r="E439" s="39" t="n"/>
      <c r="F439" s="39" t="n"/>
      <c r="G439" s="39">
        <f>IF(AND(E439="",F439=""),"",MAX(ABS(E439),ABS(F439)))</f>
        <v/>
      </c>
      <c r="M439" s="40" t="n"/>
    </row>
    <row r="440" ht="15" customHeight="1" s="25">
      <c r="E440" s="39" t="n"/>
      <c r="F440" s="39" t="n"/>
      <c r="G440" s="39">
        <f>IF(AND(E440="",F440=""),"",MAX(ABS(E440),ABS(F440)))</f>
        <v/>
      </c>
      <c r="M440" s="40" t="n"/>
    </row>
    <row r="441" ht="15" customHeight="1" s="25">
      <c r="E441" s="39" t="n"/>
      <c r="F441" s="39" t="n"/>
      <c r="G441" s="39">
        <f>IF(AND(E441="",F441=""),"",MAX(ABS(E441),ABS(F441)))</f>
        <v/>
      </c>
      <c r="M441" s="40" t="n"/>
    </row>
    <row r="442" ht="15" customHeight="1" s="25">
      <c r="E442" s="39" t="n"/>
      <c r="F442" s="39" t="n"/>
      <c r="G442" s="39">
        <f>IF(AND(E442="",F442=""),"",MAX(ABS(E442),ABS(F442)))</f>
        <v/>
      </c>
      <c r="M442" s="40" t="n"/>
    </row>
    <row r="443" ht="15" customHeight="1" s="25">
      <c r="E443" s="39" t="n"/>
      <c r="F443" s="39" t="n"/>
      <c r="G443" s="39">
        <f>IF(AND(E443="",F443=""),"",MAX(ABS(E443),ABS(F443)))</f>
        <v/>
      </c>
      <c r="M443" s="40" t="n"/>
    </row>
    <row r="444" ht="15" customHeight="1" s="25">
      <c r="E444" s="39" t="n"/>
      <c r="F444" s="39" t="n"/>
      <c r="G444" s="39">
        <f>IF(AND(E444="",F444=""),"",MAX(ABS(E444),ABS(F444)))</f>
        <v/>
      </c>
      <c r="M444" s="40" t="n"/>
    </row>
    <row r="445" ht="15" customHeight="1" s="25">
      <c r="E445" s="39" t="n"/>
      <c r="F445" s="39" t="n"/>
      <c r="G445" s="39">
        <f>IF(AND(E445="",F445=""),"",MAX(ABS(E445),ABS(F445)))</f>
        <v/>
      </c>
      <c r="M445" s="40" t="n"/>
    </row>
    <row r="446" ht="15" customHeight="1" s="25">
      <c r="E446" s="39" t="n"/>
      <c r="F446" s="39" t="n"/>
      <c r="G446" s="39">
        <f>IF(AND(E446="",F446=""),"",MAX(ABS(E446),ABS(F446)))</f>
        <v/>
      </c>
      <c r="M446" s="40" t="n"/>
    </row>
    <row r="447" ht="15" customHeight="1" s="25">
      <c r="E447" s="39" t="n"/>
      <c r="F447" s="39" t="n"/>
      <c r="G447" s="39">
        <f>IF(AND(E447="",F447=""),"",MAX(ABS(E447),ABS(F447)))</f>
        <v/>
      </c>
      <c r="M447" s="40" t="n"/>
    </row>
    <row r="448" ht="15" customHeight="1" s="25">
      <c r="E448" s="39" t="n"/>
      <c r="F448" s="39" t="n"/>
      <c r="G448" s="39">
        <f>IF(AND(E448="",F448=""),"",MAX(ABS(E448),ABS(F448)))</f>
        <v/>
      </c>
      <c r="M448" s="40" t="n"/>
    </row>
    <row r="449" ht="15" customHeight="1" s="25">
      <c r="E449" s="39" t="n"/>
      <c r="F449" s="39" t="n"/>
      <c r="G449" s="39">
        <f>IF(AND(E449="",F449=""),"",MAX(ABS(E449),ABS(F449)))</f>
        <v/>
      </c>
      <c r="M449" s="40" t="n"/>
    </row>
    <row r="450" ht="15" customHeight="1" s="25">
      <c r="E450" s="39" t="n"/>
      <c r="F450" s="39" t="n"/>
      <c r="G450" s="39">
        <f>IF(AND(E450="",F450=""),"",MAX(ABS(E450),ABS(F450)))</f>
        <v/>
      </c>
      <c r="M450" s="40" t="n"/>
    </row>
    <row r="451" ht="15" customHeight="1" s="25">
      <c r="E451" s="39" t="n"/>
      <c r="F451" s="39" t="n"/>
      <c r="G451" s="39">
        <f>IF(AND(E451="",F451=""),"",MAX(ABS(E451),ABS(F451)))</f>
        <v/>
      </c>
      <c r="M451" s="40" t="n"/>
    </row>
    <row r="452" ht="15" customHeight="1" s="25">
      <c r="E452" s="39" t="n"/>
      <c r="F452" s="39" t="n"/>
      <c r="G452" s="39">
        <f>IF(AND(E452="",F452=""),"",MAX(ABS(E452),ABS(F452)))</f>
        <v/>
      </c>
      <c r="M452" s="40" t="n"/>
    </row>
    <row r="453" ht="15" customHeight="1" s="25">
      <c r="E453" s="39" t="n"/>
      <c r="F453" s="39" t="n"/>
      <c r="G453" s="39">
        <f>IF(AND(E453="",F453=""),"",MAX(ABS(E453),ABS(F453)))</f>
        <v/>
      </c>
      <c r="M453" s="40" t="n"/>
    </row>
    <row r="454" ht="15" customHeight="1" s="25">
      <c r="E454" s="39" t="n"/>
      <c r="F454" s="39" t="n"/>
      <c r="G454" s="39">
        <f>IF(AND(E454="",F454=""),"",MAX(ABS(E454),ABS(F454)))</f>
        <v/>
      </c>
      <c r="M454" s="40" t="n"/>
    </row>
    <row r="455" ht="15" customHeight="1" s="25">
      <c r="E455" s="39" t="n"/>
      <c r="F455" s="39" t="n"/>
      <c r="G455" s="39">
        <f>IF(AND(E455="",F455=""),"",MAX(ABS(E455),ABS(F455)))</f>
        <v/>
      </c>
      <c r="M455" s="40" t="n"/>
    </row>
    <row r="456" ht="15" customHeight="1" s="25">
      <c r="E456" s="39" t="n"/>
      <c r="F456" s="39" t="n"/>
      <c r="G456" s="39">
        <f>IF(AND(E456="",F456=""),"",MAX(ABS(E456),ABS(F456)))</f>
        <v/>
      </c>
      <c r="M456" s="40" t="n"/>
    </row>
    <row r="457" ht="15" customHeight="1" s="25">
      <c r="E457" s="39" t="n"/>
      <c r="F457" s="39" t="n"/>
      <c r="G457" s="39">
        <f>IF(AND(E457="",F457=""),"",MAX(ABS(E457),ABS(F457)))</f>
        <v/>
      </c>
      <c r="M457" s="40" t="n"/>
    </row>
    <row r="458" ht="15" customHeight="1" s="25">
      <c r="E458" s="39" t="n"/>
      <c r="F458" s="39" t="n"/>
      <c r="G458" s="39">
        <f>IF(AND(E458="",F458=""),"",MAX(ABS(E458),ABS(F458)))</f>
        <v/>
      </c>
      <c r="M458" s="40" t="n"/>
    </row>
    <row r="459" ht="15" customHeight="1" s="25">
      <c r="E459" s="39" t="n"/>
      <c r="F459" s="39" t="n"/>
      <c r="G459" s="39">
        <f>IF(AND(E459="",F459=""),"",MAX(ABS(E459),ABS(F459)))</f>
        <v/>
      </c>
      <c r="M459" s="40" t="n"/>
    </row>
    <row r="460" ht="15" customHeight="1" s="25">
      <c r="E460" s="39" t="n"/>
      <c r="F460" s="39" t="n"/>
      <c r="G460" s="39">
        <f>IF(AND(E460="",F460=""),"",MAX(ABS(E460),ABS(F460)))</f>
        <v/>
      </c>
      <c r="M460" s="40" t="n"/>
    </row>
    <row r="461" ht="15" customHeight="1" s="25">
      <c r="E461" s="39" t="n"/>
      <c r="F461" s="39" t="n"/>
      <c r="G461" s="39">
        <f>IF(AND(E461="",F461=""),"",MAX(ABS(E461),ABS(F461)))</f>
        <v/>
      </c>
      <c r="M461" s="40" t="n"/>
    </row>
    <row r="462" ht="15" customHeight="1" s="25">
      <c r="E462" s="39" t="n"/>
      <c r="F462" s="39" t="n"/>
      <c r="G462" s="39">
        <f>IF(AND(E462="",F462=""),"",MAX(ABS(E462),ABS(F462)))</f>
        <v/>
      </c>
      <c r="M462" s="40" t="n"/>
    </row>
    <row r="463" ht="15" customHeight="1" s="25">
      <c r="E463" s="39" t="n"/>
      <c r="F463" s="39" t="n"/>
      <c r="G463" s="39">
        <f>IF(AND(E463="",F463=""),"",MAX(ABS(E463),ABS(F463)))</f>
        <v/>
      </c>
      <c r="M463" s="40" t="n"/>
    </row>
    <row r="464" ht="15" customHeight="1" s="25">
      <c r="E464" s="39" t="n"/>
      <c r="F464" s="39" t="n"/>
      <c r="G464" s="39">
        <f>IF(AND(E464="",F464=""),"",MAX(ABS(E464),ABS(F464)))</f>
        <v/>
      </c>
      <c r="M464" s="40" t="n"/>
    </row>
    <row r="465" ht="15" customHeight="1" s="25">
      <c r="E465" s="39" t="n"/>
      <c r="F465" s="39" t="n"/>
      <c r="G465" s="39">
        <f>IF(AND(E465="",F465=""),"",MAX(ABS(E465),ABS(F465)))</f>
        <v/>
      </c>
      <c r="M465" s="40" t="n"/>
    </row>
    <row r="466" ht="15" customHeight="1" s="25">
      <c r="E466" s="39" t="n"/>
      <c r="F466" s="39" t="n"/>
      <c r="G466" s="39">
        <f>IF(AND(E466="",F466=""),"",MAX(ABS(E466),ABS(F466)))</f>
        <v/>
      </c>
      <c r="M466" s="40" t="n"/>
    </row>
    <row r="467" ht="15" customHeight="1" s="25">
      <c r="E467" s="39" t="n"/>
      <c r="F467" s="39" t="n"/>
      <c r="G467" s="39">
        <f>IF(AND(E467="",F467=""),"",MAX(ABS(E467),ABS(F467)))</f>
        <v/>
      </c>
      <c r="M467" s="40" t="n"/>
    </row>
    <row r="468" ht="15" customHeight="1" s="25">
      <c r="E468" s="39" t="n"/>
      <c r="F468" s="39" t="n"/>
      <c r="G468" s="39">
        <f>IF(AND(E468="",F468=""),"",MAX(ABS(E468),ABS(F468)))</f>
        <v/>
      </c>
      <c r="M468" s="40" t="n"/>
    </row>
    <row r="469" ht="15" customHeight="1" s="25">
      <c r="E469" s="39" t="n"/>
      <c r="F469" s="39" t="n"/>
      <c r="G469" s="39">
        <f>IF(AND(E469="",F469=""),"",MAX(ABS(E469),ABS(F469)))</f>
        <v/>
      </c>
      <c r="M469" s="40" t="n"/>
    </row>
    <row r="470" ht="15" customHeight="1" s="25">
      <c r="E470" s="39" t="n"/>
      <c r="F470" s="39" t="n"/>
      <c r="G470" s="39">
        <f>IF(AND(E470="",F470=""),"",MAX(ABS(E470),ABS(F470)))</f>
        <v/>
      </c>
      <c r="M470" s="40" t="n"/>
    </row>
    <row r="471" ht="15" customHeight="1" s="25">
      <c r="E471" s="39" t="n"/>
      <c r="F471" s="39" t="n"/>
      <c r="G471" s="39">
        <f>IF(AND(E471="",F471=""),"",MAX(ABS(E471),ABS(F471)))</f>
        <v/>
      </c>
      <c r="M471" s="40" t="n"/>
    </row>
    <row r="472" ht="15" customHeight="1" s="25">
      <c r="E472" s="39" t="n"/>
      <c r="F472" s="39" t="n"/>
      <c r="G472" s="39">
        <f>IF(AND(E472="",F472=""),"",MAX(ABS(E472),ABS(F472)))</f>
        <v/>
      </c>
      <c r="M472" s="40" t="n"/>
    </row>
    <row r="473" ht="15" customHeight="1" s="25">
      <c r="E473" s="39" t="n"/>
      <c r="F473" s="39" t="n"/>
      <c r="G473" s="39">
        <f>IF(AND(E473="",F473=""),"",MAX(ABS(E473),ABS(F473)))</f>
        <v/>
      </c>
      <c r="M473" s="40" t="n"/>
    </row>
    <row r="474" ht="15" customHeight="1" s="25">
      <c r="E474" s="39" t="n"/>
      <c r="F474" s="39" t="n"/>
      <c r="G474" s="39">
        <f>IF(AND(E474="",F474=""),"",MAX(ABS(E474),ABS(F474)))</f>
        <v/>
      </c>
      <c r="M474" s="40" t="n"/>
    </row>
    <row r="475" ht="15" customHeight="1" s="25">
      <c r="E475" s="39" t="n"/>
      <c r="F475" s="39" t="n"/>
      <c r="G475" s="39">
        <f>IF(AND(E475="",F475=""),"",MAX(ABS(E475),ABS(F475)))</f>
        <v/>
      </c>
      <c r="M475" s="40" t="n"/>
    </row>
    <row r="476" ht="15" customHeight="1" s="25">
      <c r="E476" s="39" t="n"/>
      <c r="F476" s="39" t="n"/>
      <c r="G476" s="39">
        <f>IF(AND(E476="",F476=""),"",MAX(ABS(E476),ABS(F476)))</f>
        <v/>
      </c>
      <c r="M476" s="40" t="n"/>
    </row>
    <row r="477" ht="15" customHeight="1" s="25">
      <c r="E477" s="39" t="n"/>
      <c r="F477" s="39" t="n"/>
      <c r="G477" s="39">
        <f>IF(AND(E477="",F477=""),"",MAX(ABS(E477),ABS(F477)))</f>
        <v/>
      </c>
      <c r="M477" s="40" t="n"/>
    </row>
    <row r="478" ht="15" customHeight="1" s="25">
      <c r="E478" s="39" t="n"/>
      <c r="F478" s="39" t="n"/>
      <c r="G478" s="39">
        <f>IF(AND(E478="",F478=""),"",MAX(ABS(E478),ABS(F478)))</f>
        <v/>
      </c>
      <c r="M478" s="40" t="n"/>
    </row>
    <row r="479" ht="15" customHeight="1" s="25">
      <c r="E479" s="39" t="n"/>
      <c r="F479" s="39" t="n"/>
      <c r="G479" s="39">
        <f>IF(AND(E479="",F479=""),"",MAX(ABS(E479),ABS(F479)))</f>
        <v/>
      </c>
      <c r="M479" s="40" t="n"/>
    </row>
    <row r="480" ht="15" customHeight="1" s="25">
      <c r="E480" s="39" t="n"/>
      <c r="F480" s="39" t="n"/>
      <c r="G480" s="39">
        <f>IF(AND(E480="",F480=""),"",MAX(ABS(E480),ABS(F480)))</f>
        <v/>
      </c>
      <c r="M480" s="40" t="n"/>
    </row>
    <row r="481" ht="15" customHeight="1" s="25">
      <c r="E481" s="39" t="n"/>
      <c r="F481" s="39" t="n"/>
      <c r="G481" s="39">
        <f>IF(AND(E481="",F481=""),"",MAX(ABS(E481),ABS(F481)))</f>
        <v/>
      </c>
      <c r="M481" s="40" t="n"/>
    </row>
    <row r="482" ht="15" customHeight="1" s="25">
      <c r="E482" s="39" t="n"/>
      <c r="F482" s="39" t="n"/>
      <c r="G482" s="39">
        <f>IF(AND(E482="",F482=""),"",MAX(ABS(E482),ABS(F482)))</f>
        <v/>
      </c>
      <c r="M482" s="40" t="n"/>
    </row>
    <row r="483" ht="15" customHeight="1" s="25">
      <c r="E483" s="39" t="n"/>
      <c r="F483" s="39" t="n"/>
      <c r="G483" s="39">
        <f>IF(AND(E483="",F483=""),"",MAX(ABS(E483),ABS(F483)))</f>
        <v/>
      </c>
      <c r="M483" s="40" t="n"/>
    </row>
    <row r="484" ht="15" customHeight="1" s="25">
      <c r="E484" s="39" t="n"/>
      <c r="F484" s="39" t="n"/>
      <c r="G484" s="39">
        <f>IF(AND(E484="",F484=""),"",MAX(ABS(E484),ABS(F484)))</f>
        <v/>
      </c>
      <c r="M484" s="40" t="n"/>
    </row>
    <row r="485" ht="15" customHeight="1" s="25">
      <c r="E485" s="39" t="n"/>
      <c r="F485" s="39" t="n"/>
      <c r="G485" s="39">
        <f>IF(AND(E485="",F485=""),"",MAX(ABS(E485),ABS(F485)))</f>
        <v/>
      </c>
      <c r="M485" s="40" t="n"/>
    </row>
    <row r="486" ht="15" customHeight="1" s="25">
      <c r="E486" s="39" t="n"/>
      <c r="F486" s="39" t="n"/>
      <c r="G486" s="39">
        <f>IF(AND(E486="",F486=""),"",MAX(ABS(E486),ABS(F486)))</f>
        <v/>
      </c>
      <c r="M486" s="40" t="n"/>
    </row>
    <row r="487" ht="15" customHeight="1" s="25">
      <c r="E487" s="39" t="n"/>
      <c r="F487" s="39" t="n"/>
      <c r="G487" s="39">
        <f>IF(AND(E487="",F487=""),"",MAX(ABS(E487),ABS(F487)))</f>
        <v/>
      </c>
      <c r="M487" s="40" t="n"/>
    </row>
    <row r="488" ht="15" customHeight="1" s="25">
      <c r="E488" s="39" t="n"/>
      <c r="F488" s="39" t="n"/>
      <c r="G488" s="39">
        <f>IF(AND(E488="",F488=""),"",MAX(ABS(E488),ABS(F488)))</f>
        <v/>
      </c>
      <c r="M488" s="40" t="n"/>
    </row>
    <row r="489" ht="15" customHeight="1" s="25">
      <c r="E489" s="39" t="n"/>
      <c r="F489" s="39" t="n"/>
      <c r="G489" s="39">
        <f>IF(AND(E489="",F489=""),"",MAX(ABS(E489),ABS(F489)))</f>
        <v/>
      </c>
      <c r="M489" s="40" t="n"/>
    </row>
    <row r="490" ht="15" customHeight="1" s="25">
      <c r="E490" s="39" t="n"/>
      <c r="F490" s="39" t="n"/>
      <c r="G490" s="39">
        <f>IF(AND(E490="",F490=""),"",MAX(ABS(E490),ABS(F490)))</f>
        <v/>
      </c>
      <c r="M490" s="40" t="n"/>
    </row>
    <row r="491" ht="15" customHeight="1" s="25">
      <c r="E491" s="39" t="n"/>
      <c r="F491" s="39" t="n"/>
      <c r="G491" s="39">
        <f>IF(AND(E491="",F491=""),"",MAX(ABS(E491),ABS(F491)))</f>
        <v/>
      </c>
      <c r="M491" s="40" t="n"/>
    </row>
    <row r="492" ht="15" customHeight="1" s="25">
      <c r="E492" s="39" t="n"/>
      <c r="F492" s="39" t="n"/>
      <c r="G492" s="39">
        <f>IF(AND(E492="",F492=""),"",MAX(ABS(E492),ABS(F492)))</f>
        <v/>
      </c>
      <c r="M492" s="40" t="n"/>
    </row>
    <row r="493" ht="15" customHeight="1" s="25">
      <c r="E493" s="39" t="n"/>
      <c r="F493" s="39" t="n"/>
      <c r="G493" s="39">
        <f>IF(AND(E493="",F493=""),"",MAX(ABS(E493),ABS(F493)))</f>
        <v/>
      </c>
      <c r="M493" s="40" t="n"/>
    </row>
    <row r="494" ht="15" customHeight="1" s="25">
      <c r="E494" s="39" t="n"/>
      <c r="F494" s="39" t="n"/>
      <c r="G494" s="39">
        <f>IF(AND(E494="",F494=""),"",MAX(ABS(E494),ABS(F494)))</f>
        <v/>
      </c>
      <c r="M494" s="40" t="n"/>
    </row>
    <row r="495" ht="15" customHeight="1" s="25">
      <c r="E495" s="39" t="n"/>
      <c r="F495" s="39" t="n"/>
      <c r="G495" s="39">
        <f>IF(AND(E495="",F495=""),"",MAX(ABS(E495),ABS(F495)))</f>
        <v/>
      </c>
      <c r="M495" s="40" t="n"/>
    </row>
    <row r="496" ht="15" customHeight="1" s="25">
      <c r="E496" s="39" t="n"/>
      <c r="F496" s="39" t="n"/>
      <c r="G496" s="39">
        <f>IF(AND(E496="",F496=""),"",MAX(ABS(E496),ABS(F496)))</f>
        <v/>
      </c>
      <c r="M496" s="40" t="n"/>
    </row>
    <row r="497" ht="15" customHeight="1" s="25">
      <c r="E497" s="39" t="n"/>
      <c r="F497" s="39" t="n"/>
      <c r="G497" s="39">
        <f>IF(AND(E497="",F497=""),"",MAX(ABS(E497),ABS(F497)))</f>
        <v/>
      </c>
      <c r="M497" s="40" t="n"/>
    </row>
    <row r="498" ht="15" customHeight="1" s="25">
      <c r="E498" s="39" t="n"/>
      <c r="F498" s="39" t="n"/>
      <c r="G498" s="39">
        <f>IF(AND(E498="",F498=""),"",MAX(ABS(E498),ABS(F498)))</f>
        <v/>
      </c>
      <c r="M498" s="40" t="n"/>
    </row>
    <row r="499" ht="15" customHeight="1" s="25">
      <c r="E499" s="39" t="n"/>
      <c r="F499" s="39" t="n"/>
      <c r="G499" s="39">
        <f>IF(AND(E499="",F499=""),"",MAX(ABS(E499),ABS(F499)))</f>
        <v/>
      </c>
      <c r="M499" s="40" t="n"/>
    </row>
    <row r="500" ht="15" customHeight="1" s="25">
      <c r="E500" s="39" t="n"/>
      <c r="F500" s="39" t="n"/>
      <c r="G500" s="39">
        <f>IF(AND(E500="",F500=""),"",MAX(ABS(E500),ABS(F500)))</f>
        <v/>
      </c>
      <c r="M500" s="40" t="n"/>
    </row>
    <row r="501" ht="15" customHeight="1" s="25">
      <c r="E501" s="39" t="n"/>
      <c r="F501" s="39" t="n"/>
      <c r="G501" s="39">
        <f>IF(AND(E501="",F501=""),"",MAX(ABS(E501),ABS(F501)))</f>
        <v/>
      </c>
      <c r="M501" s="40" t="n"/>
    </row>
    <row r="502" ht="15" customHeight="1" s="25">
      <c r="E502" s="39" t="n"/>
      <c r="F502" s="39" t="n"/>
      <c r="G502" s="39">
        <f>IF(AND(E502="",F502=""),"",MAX(ABS(E502),ABS(F502)))</f>
        <v/>
      </c>
      <c r="M502" s="40" t="n"/>
    </row>
    <row r="503" ht="15" customHeight="1" s="25">
      <c r="E503" s="39" t="n"/>
      <c r="F503" s="39" t="n"/>
      <c r="G503" s="39">
        <f>IF(AND(E503="",F503=""),"",MAX(ABS(E503),ABS(F503)))</f>
        <v/>
      </c>
      <c r="M503" s="40" t="n"/>
    </row>
    <row r="504" ht="15" customHeight="1" s="25">
      <c r="E504" s="39" t="n"/>
      <c r="F504" s="39" t="n"/>
      <c r="G504" s="39">
        <f>IF(AND(E504="",F504=""),"",MAX(ABS(E504),ABS(F504)))</f>
        <v/>
      </c>
      <c r="M504" s="40" t="n"/>
    </row>
    <row r="505" ht="15" customHeight="1" s="25">
      <c r="E505" s="39" t="n"/>
      <c r="F505" s="39" t="n"/>
      <c r="G505" s="39">
        <f>IF(AND(E505="",F505=""),"",MAX(ABS(E505),ABS(F505)))</f>
        <v/>
      </c>
      <c r="M505" s="40" t="n"/>
    </row>
    <row r="506" ht="15" customHeight="1" s="25">
      <c r="E506" s="39" t="n"/>
      <c r="F506" s="39" t="n"/>
      <c r="G506" s="39">
        <f>IF(AND(E506="",F506=""),"",MAX(ABS(E506),ABS(F506)))</f>
        <v/>
      </c>
      <c r="M506" s="40" t="n"/>
    </row>
    <row r="507" ht="15" customHeight="1" s="25">
      <c r="E507" s="39" t="n"/>
      <c r="F507" s="39" t="n"/>
      <c r="G507" s="39">
        <f>IF(AND(E507="",F507=""),"",MAX(ABS(E507),ABS(F507)))</f>
        <v/>
      </c>
      <c r="M507" s="40" t="n"/>
    </row>
    <row r="508" ht="15" customHeight="1" s="25">
      <c r="E508" s="39" t="n"/>
      <c r="F508" s="39" t="n"/>
      <c r="G508" s="39">
        <f>IF(AND(E508="",F508=""),"",MAX(ABS(E508),ABS(F508)))</f>
        <v/>
      </c>
      <c r="M508" s="40" t="n"/>
    </row>
    <row r="509" ht="15" customHeight="1" s="25">
      <c r="E509" s="39" t="n"/>
      <c r="F509" s="39" t="n"/>
      <c r="G509" s="39">
        <f>IF(AND(E509="",F509=""),"",MAX(ABS(E509),ABS(F509)))</f>
        <v/>
      </c>
      <c r="M509" s="40" t="n"/>
    </row>
    <row r="510" ht="15" customHeight="1" s="25">
      <c r="E510" s="39" t="n"/>
      <c r="F510" s="39" t="n"/>
      <c r="G510" s="39">
        <f>IF(AND(E510="",F510=""),"",MAX(ABS(E510),ABS(F510)))</f>
        <v/>
      </c>
      <c r="M510" s="40" t="n"/>
    </row>
    <row r="511" ht="15" customHeight="1" s="25">
      <c r="E511" s="39" t="n"/>
      <c r="F511" s="39" t="n"/>
      <c r="G511" s="39">
        <f>IF(AND(E511="",F511=""),"",MAX(ABS(E511),ABS(F511)))</f>
        <v/>
      </c>
      <c r="M511" s="40" t="n"/>
    </row>
    <row r="512" ht="15" customHeight="1" s="25">
      <c r="E512" s="39" t="n"/>
      <c r="F512" s="39" t="n"/>
      <c r="G512" s="39">
        <f>IF(AND(E512="",F512=""),"",MAX(ABS(E512),ABS(F512)))</f>
        <v/>
      </c>
      <c r="M512" s="40" t="n"/>
    </row>
    <row r="513" ht="15" customHeight="1" s="25">
      <c r="E513" s="39" t="n"/>
      <c r="F513" s="39" t="n"/>
      <c r="G513" s="39">
        <f>IF(AND(E513="",F513=""),"",MAX(ABS(E513),ABS(F513)))</f>
        <v/>
      </c>
      <c r="M513" s="40" t="n"/>
    </row>
    <row r="514" ht="15" customHeight="1" s="25">
      <c r="E514" s="39" t="n"/>
      <c r="F514" s="39" t="n"/>
      <c r="G514" s="39">
        <f>IF(AND(E514="",F514=""),"",MAX(ABS(E514),ABS(F514)))</f>
        <v/>
      </c>
      <c r="M514" s="40" t="n"/>
    </row>
    <row r="515" ht="15" customHeight="1" s="25">
      <c r="E515" s="39" t="n"/>
      <c r="F515" s="39" t="n"/>
      <c r="G515" s="39">
        <f>IF(AND(E515="",F515=""),"",MAX(ABS(E515),ABS(F515)))</f>
        <v/>
      </c>
      <c r="M515" s="40" t="n"/>
    </row>
    <row r="516" ht="15" customHeight="1" s="25">
      <c r="E516" s="39" t="n"/>
      <c r="F516" s="39" t="n"/>
      <c r="G516" s="39">
        <f>IF(AND(E516="",F516=""),"",MAX(ABS(E516),ABS(F516)))</f>
        <v/>
      </c>
      <c r="M516" s="40" t="n"/>
    </row>
    <row r="517" ht="15" customHeight="1" s="25">
      <c r="E517" s="39" t="n"/>
      <c r="F517" s="39" t="n"/>
      <c r="G517" s="39">
        <f>IF(AND(E517="",F517=""),"",MAX(ABS(E517),ABS(F517)))</f>
        <v/>
      </c>
      <c r="M517" s="40" t="n"/>
    </row>
    <row r="518" ht="15" customHeight="1" s="25">
      <c r="E518" s="39" t="n"/>
      <c r="F518" s="39" t="n"/>
      <c r="G518" s="39">
        <f>IF(AND(E518="",F518=""),"",MAX(ABS(E518),ABS(F518)))</f>
        <v/>
      </c>
      <c r="M518" s="40" t="n"/>
    </row>
    <row r="519" ht="15" customHeight="1" s="25">
      <c r="E519" s="39" t="n"/>
      <c r="F519" s="39" t="n"/>
      <c r="G519" s="39">
        <f>IF(AND(E519="",F519=""),"",MAX(ABS(E519),ABS(F519)))</f>
        <v/>
      </c>
      <c r="M519" s="40" t="n"/>
    </row>
    <row r="520" ht="15" customHeight="1" s="25">
      <c r="E520" s="39" t="n"/>
      <c r="F520" s="39" t="n"/>
      <c r="G520" s="39">
        <f>IF(AND(E520="",F520=""),"",MAX(ABS(E520),ABS(F520)))</f>
        <v/>
      </c>
      <c r="M520" s="40" t="n"/>
    </row>
    <row r="521" ht="15" customHeight="1" s="25">
      <c r="E521" s="39" t="n"/>
      <c r="F521" s="39" t="n"/>
      <c r="G521" s="39">
        <f>IF(AND(E521="",F521=""),"",MAX(ABS(E521),ABS(F521)))</f>
        <v/>
      </c>
      <c r="M521" s="40" t="n"/>
    </row>
    <row r="522" ht="15" customHeight="1" s="25">
      <c r="E522" s="39" t="n"/>
      <c r="F522" s="39" t="n"/>
      <c r="G522" s="39">
        <f>IF(AND(E522="",F522=""),"",MAX(ABS(E522),ABS(F522)))</f>
        <v/>
      </c>
      <c r="M522" s="40" t="n"/>
    </row>
    <row r="523" ht="15" customHeight="1" s="25">
      <c r="E523" s="39" t="n"/>
      <c r="F523" s="39" t="n"/>
      <c r="G523" s="39">
        <f>IF(AND(E523="",F523=""),"",MAX(ABS(E523),ABS(F523)))</f>
        <v/>
      </c>
      <c r="M523" s="40" t="n"/>
    </row>
    <row r="524" ht="15" customHeight="1" s="25">
      <c r="E524" s="39" t="n"/>
      <c r="F524" s="39" t="n"/>
      <c r="G524" s="39">
        <f>IF(AND(E524="",F524=""),"",MAX(ABS(E524),ABS(F524)))</f>
        <v/>
      </c>
      <c r="M524" s="40" t="n"/>
    </row>
    <row r="525" ht="15" customHeight="1" s="25">
      <c r="E525" s="39" t="n"/>
      <c r="F525" s="39" t="n"/>
      <c r="G525" s="39">
        <f>IF(AND(E525="",F525=""),"",MAX(ABS(E525),ABS(F525)))</f>
        <v/>
      </c>
      <c r="M525" s="40" t="n"/>
    </row>
    <row r="526" ht="15" customHeight="1" s="25">
      <c r="E526" s="39" t="n"/>
      <c r="F526" s="39" t="n"/>
      <c r="G526" s="39">
        <f>IF(AND(E526="",F526=""),"",MAX(ABS(E526),ABS(F526)))</f>
        <v/>
      </c>
      <c r="M526" s="40" t="n"/>
    </row>
    <row r="527" ht="15" customHeight="1" s="25">
      <c r="E527" s="39" t="n"/>
      <c r="F527" s="39" t="n"/>
      <c r="G527" s="39">
        <f>IF(AND(E527="",F527=""),"",MAX(ABS(E527),ABS(F527)))</f>
        <v/>
      </c>
      <c r="M527" s="40" t="n"/>
    </row>
    <row r="528" ht="15" customHeight="1" s="25">
      <c r="E528" s="39" t="n"/>
      <c r="F528" s="39" t="n"/>
      <c r="G528" s="39">
        <f>IF(AND(E528="",F528=""),"",MAX(ABS(E528),ABS(F528)))</f>
        <v/>
      </c>
      <c r="M528" s="40" t="n"/>
    </row>
    <row r="529" ht="15" customHeight="1" s="25">
      <c r="E529" s="39" t="n"/>
      <c r="F529" s="39" t="n"/>
      <c r="G529" s="39">
        <f>IF(AND(E529="",F529=""),"",MAX(ABS(E529),ABS(F529)))</f>
        <v/>
      </c>
      <c r="M529" s="40" t="n"/>
    </row>
    <row r="530" ht="15" customHeight="1" s="25">
      <c r="E530" s="39" t="n"/>
      <c r="F530" s="39" t="n"/>
      <c r="G530" s="39">
        <f>IF(AND(E530="",F530=""),"",MAX(ABS(E530),ABS(F530)))</f>
        <v/>
      </c>
      <c r="M530" s="40" t="n"/>
    </row>
    <row r="531" ht="15" customHeight="1" s="25">
      <c r="E531" s="39" t="n"/>
      <c r="F531" s="39" t="n"/>
      <c r="G531" s="39">
        <f>IF(AND(E531="",F531=""),"",MAX(ABS(E531),ABS(F531)))</f>
        <v/>
      </c>
      <c r="M531" s="40" t="n"/>
    </row>
    <row r="532" ht="15" customHeight="1" s="25">
      <c r="E532" s="39" t="n"/>
      <c r="F532" s="39" t="n"/>
      <c r="G532" s="39">
        <f>IF(AND(E532="",F532=""),"",MAX(ABS(E532),ABS(F532)))</f>
        <v/>
      </c>
      <c r="M532" s="40" t="n"/>
    </row>
    <row r="533" ht="15" customHeight="1" s="25">
      <c r="E533" s="39" t="n"/>
      <c r="F533" s="39" t="n"/>
      <c r="G533" s="39">
        <f>IF(AND(E533="",F533=""),"",MAX(ABS(E533),ABS(F533)))</f>
        <v/>
      </c>
      <c r="M533" s="40" t="n"/>
    </row>
    <row r="534" ht="15" customHeight="1" s="25">
      <c r="E534" s="39" t="n"/>
      <c r="F534" s="39" t="n"/>
      <c r="G534" s="39">
        <f>IF(AND(E534="",F534=""),"",MAX(ABS(E534),ABS(F534)))</f>
        <v/>
      </c>
      <c r="M534" s="40" t="n"/>
    </row>
    <row r="535" ht="15" customHeight="1" s="25">
      <c r="E535" s="39" t="n"/>
      <c r="F535" s="39" t="n"/>
      <c r="G535" s="39">
        <f>IF(AND(E535="",F535=""),"",MAX(ABS(E535),ABS(F535)))</f>
        <v/>
      </c>
      <c r="M535" s="40" t="n"/>
    </row>
    <row r="536" ht="15" customHeight="1" s="25">
      <c r="E536" s="39" t="n"/>
      <c r="F536" s="39" t="n"/>
      <c r="G536" s="39">
        <f>IF(AND(E536="",F536=""),"",MAX(ABS(E536),ABS(F536)))</f>
        <v/>
      </c>
      <c r="M536" s="40" t="n"/>
    </row>
    <row r="537" ht="15" customHeight="1" s="25">
      <c r="E537" s="39" t="n"/>
      <c r="F537" s="39" t="n"/>
      <c r="G537" s="39">
        <f>IF(AND(E537="",F537=""),"",MAX(ABS(E537),ABS(F537)))</f>
        <v/>
      </c>
      <c r="M537" s="40" t="n"/>
    </row>
    <row r="538" ht="15" customHeight="1" s="25">
      <c r="E538" s="39" t="n"/>
      <c r="F538" s="39" t="n"/>
      <c r="G538" s="39">
        <f>IF(AND(E538="",F538=""),"",MAX(ABS(E538),ABS(F538)))</f>
        <v/>
      </c>
      <c r="M538" s="40" t="n"/>
    </row>
    <row r="539" ht="15" customHeight="1" s="25">
      <c r="E539" s="39" t="n"/>
      <c r="F539" s="39" t="n"/>
      <c r="G539" s="39">
        <f>IF(AND(E539="",F539=""),"",MAX(ABS(E539),ABS(F539)))</f>
        <v/>
      </c>
      <c r="M539" s="40" t="n"/>
    </row>
    <row r="540" ht="15" customHeight="1" s="25">
      <c r="E540" s="39" t="n"/>
      <c r="F540" s="39" t="n"/>
      <c r="G540" s="39">
        <f>IF(AND(E540="",F540=""),"",MAX(ABS(E540),ABS(F540)))</f>
        <v/>
      </c>
      <c r="M540" s="40" t="n"/>
    </row>
    <row r="541" ht="15" customHeight="1" s="25">
      <c r="E541" s="39" t="n"/>
      <c r="F541" s="39" t="n"/>
      <c r="G541" s="39">
        <f>IF(AND(E541="",F541=""),"",MAX(ABS(E541),ABS(F541)))</f>
        <v/>
      </c>
      <c r="M541" s="40" t="n"/>
    </row>
    <row r="542" ht="15" customHeight="1" s="25">
      <c r="E542" s="39" t="n"/>
      <c r="F542" s="39" t="n"/>
      <c r="G542" s="39">
        <f>IF(AND(E542="",F542=""),"",MAX(ABS(E542),ABS(F542)))</f>
        <v/>
      </c>
      <c r="M542" s="40" t="n"/>
    </row>
    <row r="543" ht="15" customHeight="1" s="25">
      <c r="E543" s="39" t="n"/>
      <c r="F543" s="39" t="n"/>
      <c r="G543" s="39">
        <f>IF(AND(E543="",F543=""),"",MAX(ABS(E543),ABS(F543)))</f>
        <v/>
      </c>
      <c r="M543" s="40" t="n"/>
    </row>
    <row r="544" ht="15" customHeight="1" s="25">
      <c r="E544" s="39" t="n"/>
      <c r="F544" s="39" t="n"/>
      <c r="G544" s="39">
        <f>IF(AND(E544="",F544=""),"",MAX(ABS(E544),ABS(F544)))</f>
        <v/>
      </c>
      <c r="M544" s="40" t="n"/>
    </row>
    <row r="545" ht="15" customHeight="1" s="25">
      <c r="E545" s="39" t="n"/>
      <c r="F545" s="39" t="n"/>
      <c r="G545" s="39">
        <f>IF(AND(E545="",F545=""),"",MAX(ABS(E545),ABS(F545)))</f>
        <v/>
      </c>
      <c r="M545" s="40" t="n"/>
    </row>
    <row r="546" ht="15" customHeight="1" s="25">
      <c r="E546" s="39" t="n"/>
      <c r="F546" s="39" t="n"/>
      <c r="G546" s="39">
        <f>IF(AND(E546="",F546=""),"",MAX(ABS(E546),ABS(F546)))</f>
        <v/>
      </c>
      <c r="M546" s="40" t="n"/>
    </row>
    <row r="547" ht="15" customHeight="1" s="25">
      <c r="E547" s="39" t="n"/>
      <c r="F547" s="39" t="n"/>
      <c r="G547" s="39">
        <f>IF(AND(E547="",F547=""),"",MAX(ABS(E547),ABS(F547)))</f>
        <v/>
      </c>
      <c r="M547" s="40" t="n"/>
    </row>
    <row r="548" ht="15" customHeight="1" s="25">
      <c r="E548" s="39" t="n"/>
      <c r="F548" s="39" t="n"/>
      <c r="G548" s="39">
        <f>IF(AND(E548="",F548=""),"",MAX(ABS(E548),ABS(F548)))</f>
        <v/>
      </c>
      <c r="M548" s="40" t="n"/>
    </row>
    <row r="549" ht="15" customHeight="1" s="25">
      <c r="E549" s="39" t="n"/>
      <c r="F549" s="39" t="n"/>
      <c r="G549" s="39">
        <f>IF(AND(E549="",F549=""),"",MAX(ABS(E549),ABS(F549)))</f>
        <v/>
      </c>
      <c r="M549" s="40" t="n"/>
    </row>
    <row r="550" ht="15" customHeight="1" s="25">
      <c r="E550" s="39" t="n"/>
      <c r="F550" s="39" t="n"/>
      <c r="G550" s="39">
        <f>IF(AND(E550="",F550=""),"",MAX(ABS(E550),ABS(F550)))</f>
        <v/>
      </c>
      <c r="M550" s="40" t="n"/>
    </row>
    <row r="551" ht="15" customHeight="1" s="25">
      <c r="E551" s="39" t="n"/>
      <c r="F551" s="39" t="n"/>
      <c r="G551" s="39">
        <f>IF(AND(E551="",F551=""),"",MAX(ABS(E551),ABS(F551)))</f>
        <v/>
      </c>
      <c r="M551" s="40" t="n"/>
    </row>
    <row r="552" ht="15" customHeight="1" s="25">
      <c r="E552" s="39" t="n"/>
      <c r="F552" s="39" t="n"/>
      <c r="G552" s="39">
        <f>IF(AND(E552="",F552=""),"",MAX(ABS(E552),ABS(F552)))</f>
        <v/>
      </c>
      <c r="M552" s="40" t="n"/>
    </row>
    <row r="553" ht="15" customHeight="1" s="25">
      <c r="E553" s="39" t="n"/>
      <c r="F553" s="39" t="n"/>
      <c r="G553" s="39">
        <f>IF(AND(E553="",F553=""),"",MAX(ABS(E553),ABS(F553)))</f>
        <v/>
      </c>
      <c r="M553" s="40" t="n"/>
    </row>
    <row r="554" ht="15" customHeight="1" s="25">
      <c r="E554" s="39" t="n"/>
      <c r="F554" s="39" t="n"/>
      <c r="G554" s="39">
        <f>IF(AND(E554="",F554=""),"",MAX(ABS(E554),ABS(F554)))</f>
        <v/>
      </c>
      <c r="M554" s="40" t="n"/>
    </row>
    <row r="555" ht="15" customHeight="1" s="25">
      <c r="E555" s="39" t="n"/>
      <c r="F555" s="39" t="n"/>
      <c r="G555" s="39">
        <f>IF(AND(E555="",F555=""),"",MAX(ABS(E555),ABS(F555)))</f>
        <v/>
      </c>
      <c r="M555" s="40" t="n"/>
    </row>
    <row r="556" ht="15" customHeight="1" s="25">
      <c r="E556" s="39" t="n"/>
      <c r="F556" s="39" t="n"/>
      <c r="G556" s="39">
        <f>IF(AND(E556="",F556=""),"",MAX(ABS(E556),ABS(F556)))</f>
        <v/>
      </c>
      <c r="M556" s="40" t="n"/>
    </row>
    <row r="557" ht="15" customHeight="1" s="25">
      <c r="E557" s="39" t="n"/>
      <c r="F557" s="39" t="n"/>
      <c r="G557" s="39">
        <f>IF(AND(E557="",F557=""),"",MAX(ABS(E557),ABS(F557)))</f>
        <v/>
      </c>
      <c r="M557" s="40" t="n"/>
    </row>
    <row r="558" ht="15" customHeight="1" s="25">
      <c r="E558" s="39" t="n"/>
      <c r="F558" s="39" t="n"/>
      <c r="G558" s="39">
        <f>IF(AND(E558="",F558=""),"",MAX(ABS(E558),ABS(F558)))</f>
        <v/>
      </c>
      <c r="M558" s="40" t="n"/>
    </row>
    <row r="559" ht="15" customHeight="1" s="25">
      <c r="E559" s="39" t="n"/>
      <c r="F559" s="39" t="n"/>
      <c r="G559" s="39">
        <f>IF(AND(E559="",F559=""),"",MAX(ABS(E559),ABS(F559)))</f>
        <v/>
      </c>
      <c r="M559" s="40" t="n"/>
    </row>
    <row r="560" ht="15" customHeight="1" s="25">
      <c r="E560" s="39" t="n"/>
      <c r="F560" s="39" t="n"/>
      <c r="G560" s="39">
        <f>IF(AND(E560="",F560=""),"",MAX(ABS(E560),ABS(F560)))</f>
        <v/>
      </c>
      <c r="M560" s="40" t="n"/>
    </row>
    <row r="561" ht="15" customHeight="1" s="25">
      <c r="E561" s="39" t="n"/>
      <c r="F561" s="39" t="n"/>
      <c r="G561" s="39">
        <f>IF(AND(E561="",F561=""),"",MAX(ABS(E561),ABS(F561)))</f>
        <v/>
      </c>
      <c r="M561" s="40" t="n"/>
    </row>
    <row r="562" ht="15" customHeight="1" s="25">
      <c r="E562" s="39" t="n"/>
      <c r="F562" s="39" t="n"/>
      <c r="G562" s="39">
        <f>IF(AND(E562="",F562=""),"",MAX(ABS(E562),ABS(F562)))</f>
        <v/>
      </c>
      <c r="M562" s="40" t="n"/>
    </row>
    <row r="563" ht="15" customHeight="1" s="25">
      <c r="E563" s="39" t="n"/>
      <c r="F563" s="39" t="n"/>
      <c r="G563" s="39">
        <f>IF(AND(E563="",F563=""),"",MAX(ABS(E563),ABS(F563)))</f>
        <v/>
      </c>
      <c r="M563" s="40" t="n"/>
    </row>
    <row r="564" ht="15" customHeight="1" s="25">
      <c r="E564" s="39" t="n"/>
      <c r="F564" s="39" t="n"/>
      <c r="G564" s="39">
        <f>IF(AND(E564="",F564=""),"",MAX(ABS(E564),ABS(F564)))</f>
        <v/>
      </c>
      <c r="M564" s="40" t="n"/>
    </row>
    <row r="565" ht="15" customHeight="1" s="25">
      <c r="E565" s="39" t="n"/>
      <c r="F565" s="39" t="n"/>
      <c r="G565" s="39">
        <f>IF(AND(E565="",F565=""),"",MAX(ABS(E565),ABS(F565)))</f>
        <v/>
      </c>
      <c r="M565" s="40" t="n"/>
    </row>
    <row r="566" ht="15" customHeight="1" s="25">
      <c r="E566" s="39" t="n"/>
      <c r="F566" s="39" t="n"/>
      <c r="G566" s="39">
        <f>IF(AND(E566="",F566=""),"",MAX(ABS(E566),ABS(F566)))</f>
        <v/>
      </c>
      <c r="M566" s="40" t="n"/>
    </row>
    <row r="567" ht="15" customHeight="1" s="25">
      <c r="E567" s="39" t="n"/>
      <c r="F567" s="39" t="n"/>
      <c r="G567" s="39">
        <f>IF(AND(E567="",F567=""),"",MAX(ABS(E567),ABS(F567)))</f>
        <v/>
      </c>
      <c r="M567" s="40" t="n"/>
    </row>
    <row r="568" ht="15" customHeight="1" s="25">
      <c r="E568" s="39" t="n"/>
      <c r="F568" s="39" t="n"/>
      <c r="G568" s="39">
        <f>IF(AND(E568="",F568=""),"",MAX(ABS(E568),ABS(F568)))</f>
        <v/>
      </c>
      <c r="M568" s="40" t="n"/>
    </row>
    <row r="569" ht="15" customHeight="1" s="25">
      <c r="E569" s="39" t="n"/>
      <c r="F569" s="39" t="n"/>
      <c r="G569" s="39">
        <f>IF(AND(E569="",F569=""),"",MAX(ABS(E569),ABS(F569)))</f>
        <v/>
      </c>
      <c r="M569" s="40" t="n"/>
    </row>
    <row r="570" ht="15" customHeight="1" s="25">
      <c r="E570" s="39" t="n"/>
      <c r="F570" s="39" t="n"/>
      <c r="G570" s="39">
        <f>IF(AND(E570="",F570=""),"",MAX(ABS(E570),ABS(F570)))</f>
        <v/>
      </c>
      <c r="M570" s="40" t="n"/>
    </row>
    <row r="571" ht="15" customHeight="1" s="25">
      <c r="E571" s="39" t="n"/>
      <c r="F571" s="39" t="n"/>
      <c r="G571" s="39">
        <f>IF(AND(E571="",F571=""),"",MAX(ABS(E571),ABS(F571)))</f>
        <v/>
      </c>
      <c r="M571" s="40" t="n"/>
    </row>
    <row r="572" ht="15" customHeight="1" s="25">
      <c r="E572" s="39" t="n"/>
      <c r="F572" s="39" t="n"/>
      <c r="G572" s="39">
        <f>IF(AND(E572="",F572=""),"",MAX(ABS(E572),ABS(F572)))</f>
        <v/>
      </c>
      <c r="M572" s="40" t="n"/>
    </row>
    <row r="573" ht="15" customHeight="1" s="25">
      <c r="E573" s="39" t="n"/>
      <c r="F573" s="39" t="n"/>
      <c r="G573" s="39">
        <f>IF(AND(E573="",F573=""),"",MAX(ABS(E573),ABS(F573)))</f>
        <v/>
      </c>
      <c r="M573" s="40" t="n"/>
    </row>
    <row r="574" ht="15" customHeight="1" s="25">
      <c r="E574" s="39" t="n"/>
      <c r="F574" s="39" t="n"/>
      <c r="G574" s="39">
        <f>IF(AND(E574="",F574=""),"",MAX(ABS(E574),ABS(F574)))</f>
        <v/>
      </c>
      <c r="M574" s="40" t="n"/>
    </row>
    <row r="575" ht="15" customHeight="1" s="25">
      <c r="E575" s="39" t="n"/>
      <c r="F575" s="39" t="n"/>
      <c r="G575" s="39">
        <f>IF(AND(E575="",F575=""),"",MAX(ABS(E575),ABS(F575)))</f>
        <v/>
      </c>
      <c r="M575" s="40" t="n"/>
    </row>
    <row r="576" ht="15" customHeight="1" s="25">
      <c r="E576" s="39" t="n"/>
      <c r="F576" s="39" t="n"/>
      <c r="G576" s="39">
        <f>IF(AND(E576="",F576=""),"",MAX(ABS(E576),ABS(F576)))</f>
        <v/>
      </c>
      <c r="M576" s="40" t="n"/>
    </row>
    <row r="577" ht="15" customHeight="1" s="25">
      <c r="E577" s="39" t="n"/>
      <c r="F577" s="39" t="n"/>
      <c r="G577" s="39">
        <f>IF(AND(E577="",F577=""),"",MAX(ABS(E577),ABS(F577)))</f>
        <v/>
      </c>
      <c r="M577" s="40" t="n"/>
    </row>
    <row r="578" ht="15" customHeight="1" s="25">
      <c r="E578" s="39" t="n"/>
      <c r="F578" s="39" t="n"/>
      <c r="G578" s="39">
        <f>IF(AND(E578="",F578=""),"",MAX(ABS(E578),ABS(F578)))</f>
        <v/>
      </c>
      <c r="M578" s="40" t="n"/>
    </row>
    <row r="579" ht="15" customHeight="1" s="25">
      <c r="E579" s="39" t="n"/>
      <c r="F579" s="39" t="n"/>
      <c r="G579" s="39">
        <f>IF(AND(E579="",F579=""),"",MAX(ABS(E579),ABS(F579)))</f>
        <v/>
      </c>
      <c r="M579" s="40" t="n"/>
    </row>
    <row r="580" ht="15" customHeight="1" s="25">
      <c r="E580" s="39" t="n"/>
      <c r="F580" s="39" t="n"/>
      <c r="G580" s="39">
        <f>IF(AND(E580="",F580=""),"",MAX(ABS(E580),ABS(F580)))</f>
        <v/>
      </c>
      <c r="M580" s="40" t="n"/>
    </row>
    <row r="581" ht="15" customHeight="1" s="25">
      <c r="E581" s="39" t="n"/>
      <c r="F581" s="39" t="n"/>
      <c r="G581" s="39">
        <f>IF(AND(E581="",F581=""),"",MAX(ABS(E581),ABS(F581)))</f>
        <v/>
      </c>
      <c r="M581" s="40" t="n"/>
    </row>
    <row r="582" ht="15" customHeight="1" s="25">
      <c r="E582" s="39" t="n"/>
      <c r="F582" s="39" t="n"/>
      <c r="G582" s="39">
        <f>IF(AND(E582="",F582=""),"",MAX(ABS(E582),ABS(F582)))</f>
        <v/>
      </c>
      <c r="M582" s="40" t="n"/>
    </row>
    <row r="583" ht="15" customHeight="1" s="25">
      <c r="E583" s="39" t="n"/>
      <c r="F583" s="39" t="n"/>
      <c r="G583" s="39">
        <f>IF(AND(E583="",F583=""),"",MAX(ABS(E583),ABS(F583)))</f>
        <v/>
      </c>
      <c r="M583" s="40" t="n"/>
    </row>
    <row r="584" ht="15" customHeight="1" s="25">
      <c r="E584" s="39" t="n"/>
      <c r="F584" s="39" t="n"/>
      <c r="G584" s="39">
        <f>IF(AND(E584="",F584=""),"",MAX(ABS(E584),ABS(F584)))</f>
        <v/>
      </c>
      <c r="M584" s="40" t="n"/>
    </row>
    <row r="585" ht="15" customHeight="1" s="25">
      <c r="E585" s="39" t="n"/>
      <c r="F585" s="39" t="n"/>
      <c r="G585" s="39">
        <f>IF(AND(E585="",F585=""),"",MAX(ABS(E585),ABS(F585)))</f>
        <v/>
      </c>
      <c r="M585" s="40" t="n"/>
    </row>
    <row r="586" ht="15" customHeight="1" s="25">
      <c r="E586" s="39" t="n"/>
      <c r="F586" s="39" t="n"/>
      <c r="G586" s="39">
        <f>IF(AND(E586="",F586=""),"",MAX(ABS(E586),ABS(F586)))</f>
        <v/>
      </c>
      <c r="M586" s="40" t="n"/>
    </row>
    <row r="587" ht="15" customHeight="1" s="25">
      <c r="E587" s="39" t="n"/>
      <c r="F587" s="39" t="n"/>
      <c r="G587" s="39">
        <f>IF(AND(E587="",F587=""),"",MAX(ABS(E587),ABS(F587)))</f>
        <v/>
      </c>
      <c r="M587" s="40" t="n"/>
    </row>
    <row r="588" ht="15" customHeight="1" s="25">
      <c r="E588" s="39" t="n"/>
      <c r="F588" s="39" t="n"/>
      <c r="G588" s="39">
        <f>IF(AND(E588="",F588=""),"",MAX(ABS(E588),ABS(F588)))</f>
        <v/>
      </c>
      <c r="M588" s="40" t="n"/>
    </row>
    <row r="589" ht="15" customHeight="1" s="25">
      <c r="E589" s="39" t="n"/>
      <c r="F589" s="39" t="n"/>
      <c r="G589" s="39">
        <f>IF(AND(E589="",F589=""),"",MAX(ABS(E589),ABS(F589)))</f>
        <v/>
      </c>
      <c r="M589" s="40" t="n"/>
    </row>
    <row r="590" ht="15" customHeight="1" s="25">
      <c r="E590" s="39" t="n"/>
      <c r="F590" s="39" t="n"/>
      <c r="G590" s="39">
        <f>IF(AND(E590="",F590=""),"",MAX(ABS(E590),ABS(F590)))</f>
        <v/>
      </c>
      <c r="M590" s="40" t="n"/>
    </row>
    <row r="591" ht="15" customHeight="1" s="25">
      <c r="E591" s="39" t="n"/>
      <c r="F591" s="39" t="n"/>
      <c r="G591" s="39">
        <f>IF(AND(E591="",F591=""),"",MAX(ABS(E591),ABS(F591)))</f>
        <v/>
      </c>
      <c r="M591" s="40" t="n"/>
    </row>
    <row r="592" ht="15" customHeight="1" s="25">
      <c r="E592" s="39" t="n"/>
      <c r="F592" s="39" t="n"/>
      <c r="G592" s="39">
        <f>IF(AND(E592="",F592=""),"",MAX(ABS(E592),ABS(F592)))</f>
        <v/>
      </c>
      <c r="M592" s="40" t="n"/>
    </row>
    <row r="593" ht="15" customHeight="1" s="25">
      <c r="E593" s="39" t="n"/>
      <c r="F593" s="39" t="n"/>
      <c r="G593" s="39">
        <f>IF(AND(E593="",F593=""),"",MAX(ABS(E593),ABS(F593)))</f>
        <v/>
      </c>
      <c r="M593" s="40" t="n"/>
    </row>
    <row r="594" ht="15" customHeight="1" s="25">
      <c r="E594" s="39" t="n"/>
      <c r="F594" s="39" t="n"/>
      <c r="G594" s="39">
        <f>IF(AND(E594="",F594=""),"",MAX(ABS(E594),ABS(F594)))</f>
        <v/>
      </c>
      <c r="M594" s="40" t="n"/>
    </row>
    <row r="595" ht="15" customHeight="1" s="25">
      <c r="E595" s="39" t="n"/>
      <c r="F595" s="39" t="n"/>
      <c r="G595" s="39">
        <f>IF(AND(E595="",F595=""),"",MAX(ABS(E595),ABS(F595)))</f>
        <v/>
      </c>
      <c r="M595" s="40" t="n"/>
    </row>
    <row r="596" ht="15" customHeight="1" s="25">
      <c r="E596" s="39" t="n"/>
      <c r="F596" s="39" t="n"/>
      <c r="G596" s="39">
        <f>IF(AND(E596="",F596=""),"",MAX(ABS(E596),ABS(F596)))</f>
        <v/>
      </c>
      <c r="M596" s="40" t="n"/>
    </row>
    <row r="597" ht="15" customHeight="1" s="25">
      <c r="E597" s="39" t="n"/>
      <c r="F597" s="39" t="n"/>
      <c r="G597" s="39">
        <f>IF(AND(E597="",F597=""),"",MAX(ABS(E597),ABS(F597)))</f>
        <v/>
      </c>
      <c r="M597" s="40" t="n"/>
    </row>
    <row r="598" ht="15" customHeight="1" s="25">
      <c r="E598" s="39" t="n"/>
      <c r="F598" s="39" t="n"/>
      <c r="G598" s="39">
        <f>IF(AND(E598="",F598=""),"",MAX(ABS(E598),ABS(F598)))</f>
        <v/>
      </c>
      <c r="M598" s="40" t="n"/>
    </row>
    <row r="599" ht="15" customHeight="1" s="25">
      <c r="E599" s="39" t="n"/>
      <c r="F599" s="39" t="n"/>
      <c r="G599" s="39">
        <f>IF(AND(E599="",F599=""),"",MAX(ABS(E599),ABS(F599)))</f>
        <v/>
      </c>
      <c r="M599" s="40" t="n"/>
    </row>
    <row r="600" ht="15" customHeight="1" s="25">
      <c r="E600" s="39" t="n"/>
      <c r="F600" s="39" t="n"/>
      <c r="G600" s="39">
        <f>IF(AND(E600="",F600=""),"",MAX(ABS(E600),ABS(F600)))</f>
        <v/>
      </c>
      <c r="M600" s="40" t="n"/>
    </row>
    <row r="601" ht="15" customHeight="1" s="25">
      <c r="E601" s="39" t="n"/>
      <c r="F601" s="39" t="n"/>
      <c r="G601" s="39">
        <f>IF(AND(E601="",F601=""),"",MAX(ABS(E601),ABS(F601)))</f>
        <v/>
      </c>
      <c r="M601" s="40" t="n"/>
    </row>
    <row r="602" ht="15" customHeight="1" s="25">
      <c r="E602" s="39" t="n"/>
      <c r="F602" s="39" t="n"/>
      <c r="G602" s="39">
        <f>IF(AND(E602="",F602=""),"",MAX(ABS(E602),ABS(F602)))</f>
        <v/>
      </c>
      <c r="M602" s="40" t="n"/>
    </row>
    <row r="603" ht="15" customHeight="1" s="25">
      <c r="E603" s="39" t="n"/>
      <c r="F603" s="39" t="n"/>
      <c r="G603" s="39">
        <f>IF(AND(E603="",F603=""),"",MAX(ABS(E603),ABS(F603)))</f>
        <v/>
      </c>
      <c r="M603" s="40" t="n"/>
    </row>
    <row r="604" ht="15" customHeight="1" s="25">
      <c r="E604" s="39" t="n"/>
      <c r="F604" s="39" t="n"/>
      <c r="G604" s="39">
        <f>IF(AND(E604="",F604=""),"",MAX(ABS(E604),ABS(F604)))</f>
        <v/>
      </c>
      <c r="M604" s="40" t="n"/>
    </row>
    <row r="605" ht="15" customHeight="1" s="25">
      <c r="E605" s="39" t="n"/>
      <c r="F605" s="39" t="n"/>
      <c r="G605" s="39">
        <f>IF(AND(E605="",F605=""),"",MAX(ABS(E605),ABS(F605)))</f>
        <v/>
      </c>
      <c r="M605" s="40" t="n"/>
    </row>
    <row r="606" ht="15" customHeight="1" s="25">
      <c r="E606" s="39" t="n"/>
      <c r="F606" s="39" t="n"/>
      <c r="G606" s="39">
        <f>IF(AND(E606="",F606=""),"",MAX(ABS(E606),ABS(F606)))</f>
        <v/>
      </c>
      <c r="M606" s="40" t="n"/>
    </row>
    <row r="607" ht="15" customHeight="1" s="25">
      <c r="E607" s="39" t="n"/>
      <c r="F607" s="39" t="n"/>
      <c r="G607" s="39">
        <f>IF(AND(E607="",F607=""),"",MAX(ABS(E607),ABS(F607)))</f>
        <v/>
      </c>
      <c r="M607" s="40" t="n"/>
    </row>
    <row r="608" ht="15" customHeight="1" s="25">
      <c r="E608" s="39" t="n"/>
      <c r="F608" s="39" t="n"/>
      <c r="G608" s="39">
        <f>IF(AND(E608="",F608=""),"",MAX(ABS(E608),ABS(F608)))</f>
        <v/>
      </c>
      <c r="M608" s="40" t="n"/>
    </row>
    <row r="609" ht="15" customHeight="1" s="25">
      <c r="E609" s="39" t="n"/>
      <c r="F609" s="39" t="n"/>
      <c r="G609" s="39">
        <f>IF(AND(E609="",F609=""),"",MAX(ABS(E609),ABS(F609)))</f>
        <v/>
      </c>
      <c r="M609" s="40" t="n"/>
    </row>
    <row r="610" ht="15" customHeight="1" s="25">
      <c r="E610" s="39" t="n"/>
      <c r="F610" s="39" t="n"/>
      <c r="G610" s="39">
        <f>IF(AND(E610="",F610=""),"",MAX(ABS(E610),ABS(F610)))</f>
        <v/>
      </c>
      <c r="M610" s="40" t="n"/>
    </row>
    <row r="611" ht="15" customHeight="1" s="25">
      <c r="E611" s="39" t="n"/>
      <c r="F611" s="39" t="n"/>
      <c r="G611" s="39">
        <f>IF(AND(E611="",F611=""),"",MAX(ABS(E611),ABS(F611)))</f>
        <v/>
      </c>
      <c r="M611" s="40" t="n"/>
    </row>
    <row r="612" ht="15" customHeight="1" s="25">
      <c r="E612" s="39" t="n"/>
      <c r="F612" s="39" t="n"/>
      <c r="G612" s="39">
        <f>IF(AND(E612="",F612=""),"",MAX(ABS(E612),ABS(F612)))</f>
        <v/>
      </c>
      <c r="M612" s="40" t="n"/>
    </row>
    <row r="613" ht="15" customHeight="1" s="25">
      <c r="E613" s="39" t="n"/>
      <c r="F613" s="39" t="n"/>
      <c r="G613" s="39">
        <f>IF(AND(E613="",F613=""),"",MAX(ABS(E613),ABS(F613)))</f>
        <v/>
      </c>
      <c r="M613" s="40" t="n"/>
    </row>
    <row r="614" ht="15" customHeight="1" s="25">
      <c r="E614" s="39" t="n"/>
      <c r="F614" s="39" t="n"/>
      <c r="G614" s="39">
        <f>IF(AND(E614="",F614=""),"",MAX(ABS(E614),ABS(F614)))</f>
        <v/>
      </c>
      <c r="M614" s="40" t="n"/>
    </row>
    <row r="615" ht="15" customHeight="1" s="25">
      <c r="E615" s="39" t="n"/>
      <c r="F615" s="39" t="n"/>
      <c r="G615" s="39">
        <f>IF(AND(E615="",F615=""),"",MAX(ABS(E615),ABS(F615)))</f>
        <v/>
      </c>
      <c r="M615" s="40" t="n"/>
    </row>
    <row r="616" ht="15" customHeight="1" s="25">
      <c r="E616" s="39" t="n"/>
      <c r="F616" s="39" t="n"/>
      <c r="G616" s="39">
        <f>IF(AND(E616="",F616=""),"",MAX(ABS(E616),ABS(F616)))</f>
        <v/>
      </c>
      <c r="M616" s="40" t="n"/>
    </row>
    <row r="617" ht="15" customHeight="1" s="25">
      <c r="E617" s="39" t="n"/>
      <c r="F617" s="39" t="n"/>
      <c r="G617" s="39">
        <f>IF(AND(E617="",F617=""),"",MAX(ABS(E617),ABS(F617)))</f>
        <v/>
      </c>
      <c r="M617" s="40" t="n"/>
    </row>
    <row r="618" ht="15" customHeight="1" s="25">
      <c r="E618" s="39" t="n"/>
      <c r="F618" s="39" t="n"/>
      <c r="G618" s="39">
        <f>IF(AND(E618="",F618=""),"",MAX(ABS(E618),ABS(F618)))</f>
        <v/>
      </c>
      <c r="M618" s="40" t="n"/>
    </row>
    <row r="619" ht="15" customHeight="1" s="25">
      <c r="E619" s="39" t="n"/>
      <c r="F619" s="39" t="n"/>
      <c r="G619" s="39">
        <f>IF(AND(E619="",F619=""),"",MAX(ABS(E619),ABS(F619)))</f>
        <v/>
      </c>
      <c r="M619" s="40" t="n"/>
    </row>
    <row r="620" ht="15" customHeight="1" s="25">
      <c r="E620" s="39" t="n"/>
      <c r="F620" s="39" t="n"/>
      <c r="G620" s="39">
        <f>IF(AND(E620="",F620=""),"",MAX(ABS(E620),ABS(F620)))</f>
        <v/>
      </c>
      <c r="M620" s="40" t="n"/>
    </row>
    <row r="621" ht="15" customHeight="1" s="25">
      <c r="E621" s="39" t="n"/>
      <c r="F621" s="39" t="n"/>
      <c r="G621" s="39">
        <f>IF(AND(E621="",F621=""),"",MAX(ABS(E621),ABS(F621)))</f>
        <v/>
      </c>
      <c r="M621" s="40" t="n"/>
    </row>
    <row r="622" ht="15" customHeight="1" s="25">
      <c r="E622" s="39" t="n"/>
      <c r="F622" s="39" t="n"/>
      <c r="G622" s="39">
        <f>IF(AND(E622="",F622=""),"",MAX(ABS(E622),ABS(F622)))</f>
        <v/>
      </c>
      <c r="M622" s="40" t="n"/>
    </row>
    <row r="623" ht="15" customHeight="1" s="25">
      <c r="E623" s="39" t="n"/>
      <c r="F623" s="39" t="n"/>
      <c r="G623" s="39">
        <f>IF(AND(E623="",F623=""),"",MAX(ABS(E623),ABS(F623)))</f>
        <v/>
      </c>
      <c r="M623" s="40" t="n"/>
    </row>
    <row r="624" ht="15" customHeight="1" s="25">
      <c r="E624" s="39" t="n"/>
      <c r="F624" s="39" t="n"/>
      <c r="G624" s="39">
        <f>IF(AND(E624="",F624=""),"",MAX(ABS(E624),ABS(F624)))</f>
        <v/>
      </c>
      <c r="M624" s="40" t="n"/>
    </row>
    <row r="625" ht="15" customHeight="1" s="25">
      <c r="E625" s="39" t="n"/>
      <c r="F625" s="39" t="n"/>
      <c r="G625" s="39">
        <f>IF(AND(E625="",F625=""),"",MAX(ABS(E625),ABS(F625)))</f>
        <v/>
      </c>
      <c r="M625" s="40" t="n"/>
    </row>
    <row r="626" ht="15" customHeight="1" s="25">
      <c r="E626" s="39" t="n"/>
      <c r="F626" s="39" t="n"/>
      <c r="G626" s="39">
        <f>IF(AND(E626="",F626=""),"",MAX(ABS(E626),ABS(F626)))</f>
        <v/>
      </c>
      <c r="M626" s="40" t="n"/>
    </row>
    <row r="627" ht="15" customHeight="1" s="25">
      <c r="E627" s="39" t="n"/>
      <c r="F627" s="39" t="n"/>
      <c r="G627" s="39">
        <f>IF(AND(E627="",F627=""),"",MAX(ABS(E627),ABS(F627)))</f>
        <v/>
      </c>
      <c r="M627" s="40" t="n"/>
    </row>
    <row r="628" ht="15" customHeight="1" s="25">
      <c r="E628" s="39" t="n"/>
      <c r="F628" s="39" t="n"/>
      <c r="G628" s="39">
        <f>IF(AND(E628="",F628=""),"",MAX(ABS(E628),ABS(F628)))</f>
        <v/>
      </c>
      <c r="M628" s="40" t="n"/>
    </row>
    <row r="629" ht="15" customHeight="1" s="25">
      <c r="E629" s="39" t="n"/>
      <c r="F629" s="39" t="n"/>
      <c r="G629" s="39">
        <f>IF(AND(E629="",F629=""),"",MAX(ABS(E629),ABS(F629)))</f>
        <v/>
      </c>
      <c r="M629" s="40" t="n"/>
    </row>
    <row r="630" ht="15" customHeight="1" s="25">
      <c r="E630" s="39" t="n"/>
      <c r="F630" s="39" t="n"/>
      <c r="G630" s="39">
        <f>IF(AND(E630="",F630=""),"",MAX(ABS(E630),ABS(F630)))</f>
        <v/>
      </c>
      <c r="M630" s="40" t="n"/>
    </row>
    <row r="631" ht="15" customHeight="1" s="25">
      <c r="E631" s="39" t="n"/>
      <c r="F631" s="39" t="n"/>
      <c r="G631" s="39">
        <f>IF(AND(E631="",F631=""),"",MAX(ABS(E631),ABS(F631)))</f>
        <v/>
      </c>
      <c r="M631" s="40" t="n"/>
    </row>
    <row r="632" ht="15" customHeight="1" s="25">
      <c r="E632" s="39" t="n"/>
      <c r="F632" s="39" t="n"/>
      <c r="G632" s="39">
        <f>IF(AND(E632="",F632=""),"",MAX(ABS(E632),ABS(F632)))</f>
        <v/>
      </c>
      <c r="M632" s="40" t="n"/>
    </row>
    <row r="633" ht="15" customHeight="1" s="25">
      <c r="E633" s="39" t="n"/>
      <c r="F633" s="39" t="n"/>
      <c r="G633" s="39">
        <f>IF(AND(E633="",F633=""),"",MAX(ABS(E633),ABS(F633)))</f>
        <v/>
      </c>
      <c r="M633" s="40" t="n"/>
    </row>
    <row r="634" ht="15" customHeight="1" s="25">
      <c r="E634" s="39" t="n"/>
      <c r="F634" s="39" t="n"/>
      <c r="G634" s="39">
        <f>IF(AND(E634="",F634=""),"",MAX(ABS(E634),ABS(F634)))</f>
        <v/>
      </c>
      <c r="M634" s="40" t="n"/>
    </row>
    <row r="635" ht="15" customHeight="1" s="25">
      <c r="E635" s="39" t="n"/>
      <c r="F635" s="39" t="n"/>
      <c r="G635" s="39">
        <f>IF(AND(E635="",F635=""),"",MAX(ABS(E635),ABS(F635)))</f>
        <v/>
      </c>
      <c r="M635" s="40" t="n"/>
    </row>
    <row r="636" ht="15" customHeight="1" s="25">
      <c r="E636" s="39" t="n"/>
      <c r="F636" s="39" t="n"/>
      <c r="G636" s="39">
        <f>IF(AND(E636="",F636=""),"",MAX(ABS(E636),ABS(F636)))</f>
        <v/>
      </c>
      <c r="M636" s="40" t="n"/>
    </row>
    <row r="637" ht="15" customHeight="1" s="25">
      <c r="E637" s="39" t="n"/>
      <c r="F637" s="39" t="n"/>
      <c r="G637" s="39">
        <f>IF(AND(E637="",F637=""),"",MAX(ABS(E637),ABS(F637)))</f>
        <v/>
      </c>
      <c r="M637" s="40" t="n"/>
    </row>
    <row r="638" ht="15" customHeight="1" s="25">
      <c r="E638" s="39" t="n"/>
      <c r="F638" s="39" t="n"/>
      <c r="G638" s="39">
        <f>IF(AND(E638="",F638=""),"",MAX(ABS(E638),ABS(F638)))</f>
        <v/>
      </c>
      <c r="M638" s="40" t="n"/>
    </row>
    <row r="639" ht="15" customHeight="1" s="25">
      <c r="E639" s="39" t="n"/>
      <c r="F639" s="39" t="n"/>
      <c r="G639" s="39">
        <f>IF(AND(E639="",F639=""),"",MAX(ABS(E639),ABS(F639)))</f>
        <v/>
      </c>
      <c r="M639" s="40" t="n"/>
    </row>
    <row r="640" ht="15" customHeight="1" s="25">
      <c r="E640" s="39" t="n"/>
      <c r="F640" s="39" t="n"/>
      <c r="G640" s="39">
        <f>IF(AND(E640="",F640=""),"",MAX(ABS(E640),ABS(F640)))</f>
        <v/>
      </c>
      <c r="M640" s="40" t="n"/>
    </row>
    <row r="641" ht="15" customHeight="1" s="25">
      <c r="E641" s="39" t="n"/>
      <c r="F641" s="39" t="n"/>
      <c r="G641" s="39">
        <f>IF(AND(E641="",F641=""),"",MAX(ABS(E641),ABS(F641)))</f>
        <v/>
      </c>
      <c r="M641" s="40" t="n"/>
    </row>
    <row r="642" ht="15" customHeight="1" s="25">
      <c r="E642" s="39" t="n"/>
      <c r="F642" s="39" t="n"/>
      <c r="G642" s="39">
        <f>IF(AND(E642="",F642=""),"",MAX(ABS(E642),ABS(F642)))</f>
        <v/>
      </c>
      <c r="M642" s="40" t="n"/>
    </row>
    <row r="643" ht="15" customHeight="1" s="25">
      <c r="E643" s="39" t="n"/>
      <c r="F643" s="39" t="n"/>
      <c r="G643" s="39">
        <f>IF(AND(E643="",F643=""),"",MAX(ABS(E643),ABS(F643)))</f>
        <v/>
      </c>
      <c r="M643" s="40" t="n"/>
    </row>
    <row r="644" ht="15" customHeight="1" s="25">
      <c r="E644" s="39" t="n"/>
      <c r="F644" s="39" t="n"/>
      <c r="G644" s="39">
        <f>IF(AND(E644="",F644=""),"",MAX(ABS(E644),ABS(F644)))</f>
        <v/>
      </c>
      <c r="M644" s="40" t="n"/>
    </row>
    <row r="645" ht="15" customHeight="1" s="25">
      <c r="E645" s="39" t="n"/>
      <c r="F645" s="39" t="n"/>
      <c r="G645" s="39">
        <f>IF(AND(E645="",F645=""),"",MAX(ABS(E645),ABS(F645)))</f>
        <v/>
      </c>
      <c r="M645" s="40" t="n"/>
    </row>
    <row r="646" ht="15" customHeight="1" s="25">
      <c r="E646" s="39" t="n"/>
      <c r="F646" s="39" t="n"/>
      <c r="G646" s="39">
        <f>IF(AND(E646="",F646=""),"",MAX(ABS(E646),ABS(F646)))</f>
        <v/>
      </c>
      <c r="M646" s="40" t="n"/>
    </row>
    <row r="647" ht="15" customHeight="1" s="25">
      <c r="E647" s="39" t="n"/>
      <c r="F647" s="39" t="n"/>
      <c r="G647" s="39">
        <f>IF(AND(E647="",F647=""),"",MAX(ABS(E647),ABS(F647)))</f>
        <v/>
      </c>
      <c r="M647" s="40" t="n"/>
    </row>
    <row r="648" ht="15" customHeight="1" s="25">
      <c r="E648" s="39" t="n"/>
      <c r="F648" s="39" t="n"/>
      <c r="G648" s="39">
        <f>IF(AND(E648="",F648=""),"",MAX(ABS(E648),ABS(F648)))</f>
        <v/>
      </c>
      <c r="M648" s="40" t="n"/>
    </row>
    <row r="649" ht="15" customHeight="1" s="25">
      <c r="E649" s="39" t="n"/>
      <c r="F649" s="39" t="n"/>
      <c r="G649" s="39">
        <f>IF(AND(E649="",F649=""),"",MAX(ABS(E649),ABS(F649)))</f>
        <v/>
      </c>
      <c r="M649" s="40" t="n"/>
    </row>
    <row r="650" ht="15" customHeight="1" s="25">
      <c r="E650" s="39" t="n"/>
      <c r="F650" s="39" t="n"/>
      <c r="G650" s="39">
        <f>IF(AND(E650="",F650=""),"",MAX(ABS(E650),ABS(F650)))</f>
        <v/>
      </c>
      <c r="M650" s="40" t="n"/>
    </row>
    <row r="651" ht="15" customHeight="1" s="25">
      <c r="E651" s="39" t="n"/>
      <c r="F651" s="39" t="n"/>
      <c r="G651" s="39">
        <f>IF(AND(E651="",F651=""),"",MAX(ABS(E651),ABS(F651)))</f>
        <v/>
      </c>
      <c r="M651" s="40" t="n"/>
    </row>
    <row r="652" ht="15" customHeight="1" s="25">
      <c r="E652" s="39" t="n"/>
      <c r="F652" s="39" t="n"/>
      <c r="G652" s="39">
        <f>IF(AND(E652="",F652=""),"",MAX(ABS(E652),ABS(F652)))</f>
        <v/>
      </c>
      <c r="M652" s="40" t="n"/>
    </row>
    <row r="653" ht="15" customHeight="1" s="25">
      <c r="E653" s="39" t="n"/>
      <c r="F653" s="39" t="n"/>
      <c r="G653" s="39">
        <f>IF(AND(E653="",F653=""),"",MAX(ABS(E653),ABS(F653)))</f>
        <v/>
      </c>
      <c r="M653" s="40" t="n"/>
    </row>
    <row r="654" ht="15" customHeight="1" s="25">
      <c r="E654" s="39" t="n"/>
      <c r="F654" s="39" t="n"/>
      <c r="G654" s="39">
        <f>IF(AND(E654="",F654=""),"",MAX(ABS(E654),ABS(F654)))</f>
        <v/>
      </c>
      <c r="M654" s="40" t="n"/>
    </row>
    <row r="655" ht="15" customHeight="1" s="25">
      <c r="E655" s="39" t="n"/>
      <c r="F655" s="39" t="n"/>
      <c r="G655" s="39">
        <f>IF(AND(E655="",F655=""),"",MAX(ABS(E655),ABS(F655)))</f>
        <v/>
      </c>
      <c r="M655" s="40" t="n"/>
    </row>
    <row r="656" ht="15" customHeight="1" s="25">
      <c r="E656" s="39" t="n"/>
      <c r="F656" s="39" t="n"/>
      <c r="G656" s="39">
        <f>IF(AND(E656="",F656=""),"",MAX(ABS(E656),ABS(F656)))</f>
        <v/>
      </c>
      <c r="M656" s="40" t="n"/>
    </row>
    <row r="657" ht="15" customHeight="1" s="25">
      <c r="E657" s="39" t="n"/>
      <c r="F657" s="39" t="n"/>
      <c r="G657" s="39">
        <f>IF(AND(E657="",F657=""),"",MAX(ABS(E657),ABS(F657)))</f>
        <v/>
      </c>
      <c r="M657" s="40" t="n"/>
    </row>
    <row r="658" ht="15" customHeight="1" s="25">
      <c r="E658" s="39" t="n"/>
      <c r="F658" s="39" t="n"/>
      <c r="G658" s="39">
        <f>IF(AND(E658="",F658=""),"",MAX(ABS(E658),ABS(F658)))</f>
        <v/>
      </c>
      <c r="M658" s="40" t="n"/>
    </row>
    <row r="659" ht="15" customHeight="1" s="25">
      <c r="E659" s="39" t="n"/>
      <c r="F659" s="39" t="n"/>
      <c r="G659" s="39">
        <f>IF(AND(E659="",F659=""),"",MAX(ABS(E659),ABS(F659)))</f>
        <v/>
      </c>
      <c r="M659" s="40" t="n"/>
    </row>
    <row r="660" ht="15" customHeight="1" s="25">
      <c r="E660" s="39" t="n"/>
      <c r="F660" s="39" t="n"/>
      <c r="G660" s="39">
        <f>IF(AND(E660="",F660=""),"",MAX(ABS(E660),ABS(F660)))</f>
        <v/>
      </c>
      <c r="M660" s="40" t="n"/>
    </row>
    <row r="661" ht="15" customHeight="1" s="25">
      <c r="E661" s="39" t="n"/>
      <c r="F661" s="39" t="n"/>
      <c r="G661" s="39">
        <f>IF(AND(E661="",F661=""),"",MAX(ABS(E661),ABS(F661)))</f>
        <v/>
      </c>
      <c r="M661" s="40" t="n"/>
    </row>
    <row r="662" ht="15" customHeight="1" s="25">
      <c r="E662" s="39" t="n"/>
      <c r="F662" s="39" t="n"/>
      <c r="G662" s="39">
        <f>IF(AND(E662="",F662=""),"",MAX(ABS(E662),ABS(F662)))</f>
        <v/>
      </c>
      <c r="M662" s="40" t="n"/>
    </row>
    <row r="663" ht="15" customHeight="1" s="25">
      <c r="E663" s="39" t="n"/>
      <c r="F663" s="39" t="n"/>
      <c r="G663" s="39">
        <f>IF(AND(E663="",F663=""),"",MAX(ABS(E663),ABS(F663)))</f>
        <v/>
      </c>
      <c r="M663" s="40" t="n"/>
    </row>
    <row r="664" ht="15" customHeight="1" s="25">
      <c r="E664" s="39" t="n"/>
      <c r="F664" s="39" t="n"/>
      <c r="G664" s="39">
        <f>IF(AND(E664="",F664=""),"",MAX(ABS(E664),ABS(F664)))</f>
        <v/>
      </c>
      <c r="M664" s="40" t="n"/>
    </row>
    <row r="665" ht="15" customHeight="1" s="25">
      <c r="E665" s="39" t="n"/>
      <c r="F665" s="39" t="n"/>
      <c r="G665" s="39">
        <f>IF(AND(E665="",F665=""),"",MAX(ABS(E665),ABS(F665)))</f>
        <v/>
      </c>
      <c r="M665" s="40" t="n"/>
    </row>
    <row r="666" ht="15" customHeight="1" s="25">
      <c r="E666" s="39" t="n"/>
      <c r="F666" s="39" t="n"/>
      <c r="G666" s="39">
        <f>IF(AND(E666="",F666=""),"",MAX(ABS(E666),ABS(F666)))</f>
        <v/>
      </c>
      <c r="M666" s="40" t="n"/>
    </row>
    <row r="667" ht="15" customHeight="1" s="25">
      <c r="E667" s="39" t="n"/>
      <c r="F667" s="39" t="n"/>
      <c r="G667" s="39">
        <f>IF(AND(E667="",F667=""),"",MAX(ABS(E667),ABS(F667)))</f>
        <v/>
      </c>
      <c r="M667" s="40" t="n"/>
    </row>
    <row r="668" ht="15" customHeight="1" s="25">
      <c r="E668" s="39" t="n"/>
      <c r="F668" s="39" t="n"/>
      <c r="G668" s="39">
        <f>IF(AND(E668="",F668=""),"",MAX(ABS(E668),ABS(F668)))</f>
        <v/>
      </c>
      <c r="M668" s="40" t="n"/>
    </row>
    <row r="669" ht="15" customHeight="1" s="25">
      <c r="E669" s="39" t="n"/>
      <c r="F669" s="39" t="n"/>
      <c r="G669" s="39">
        <f>IF(AND(E669="",F669=""),"",MAX(ABS(E669),ABS(F669)))</f>
        <v/>
      </c>
      <c r="M669" s="40" t="n"/>
    </row>
    <row r="670" ht="15" customHeight="1" s="25">
      <c r="E670" s="39" t="n"/>
      <c r="F670" s="39" t="n"/>
      <c r="G670" s="39">
        <f>IF(AND(E670="",F670=""),"",MAX(ABS(E670),ABS(F670)))</f>
        <v/>
      </c>
      <c r="M670" s="40" t="n"/>
    </row>
    <row r="671" ht="15" customHeight="1" s="25">
      <c r="E671" s="39" t="n"/>
      <c r="F671" s="39" t="n"/>
      <c r="G671" s="39">
        <f>IF(AND(E671="",F671=""),"",MAX(ABS(E671),ABS(F671)))</f>
        <v/>
      </c>
      <c r="M671" s="40" t="n"/>
    </row>
    <row r="672" ht="15" customHeight="1" s="25">
      <c r="E672" s="39" t="n"/>
      <c r="F672" s="39" t="n"/>
      <c r="G672" s="39">
        <f>IF(AND(E672="",F672=""),"",MAX(ABS(E672),ABS(F672)))</f>
        <v/>
      </c>
      <c r="M672" s="40" t="n"/>
    </row>
    <row r="673" ht="15" customHeight="1" s="25">
      <c r="E673" s="39" t="n"/>
      <c r="F673" s="39" t="n"/>
      <c r="G673" s="39">
        <f>IF(AND(E673="",F673=""),"",MAX(ABS(E673),ABS(F673)))</f>
        <v/>
      </c>
      <c r="M673" s="40" t="n"/>
    </row>
    <row r="674" ht="15" customHeight="1" s="25">
      <c r="E674" s="39" t="n"/>
      <c r="F674" s="39" t="n"/>
      <c r="G674" s="39">
        <f>IF(AND(E674="",F674=""),"",MAX(ABS(E674),ABS(F674)))</f>
        <v/>
      </c>
      <c r="M674" s="40" t="n"/>
    </row>
    <row r="675" ht="15" customHeight="1" s="25">
      <c r="E675" s="39" t="n"/>
      <c r="F675" s="39" t="n"/>
      <c r="G675" s="39">
        <f>IF(AND(E675="",F675=""),"",MAX(ABS(E675),ABS(F675)))</f>
        <v/>
      </c>
      <c r="M675" s="40" t="n"/>
    </row>
    <row r="676" ht="15" customHeight="1" s="25">
      <c r="E676" s="39" t="n"/>
      <c r="F676" s="39" t="n"/>
      <c r="G676" s="39">
        <f>IF(AND(E676="",F676=""),"",MAX(ABS(E676),ABS(F676)))</f>
        <v/>
      </c>
      <c r="M676" s="40" t="n"/>
    </row>
    <row r="677" ht="15" customHeight="1" s="25">
      <c r="E677" s="39" t="n"/>
      <c r="F677" s="39" t="n"/>
      <c r="G677" s="39">
        <f>IF(AND(E677="",F677=""),"",MAX(ABS(E677),ABS(F677)))</f>
        <v/>
      </c>
      <c r="M677" s="40" t="n"/>
    </row>
    <row r="678" ht="15" customHeight="1" s="25">
      <c r="E678" s="39" t="n"/>
      <c r="F678" s="39" t="n"/>
      <c r="G678" s="39">
        <f>IF(AND(E678="",F678=""),"",MAX(ABS(E678),ABS(F678)))</f>
        <v/>
      </c>
      <c r="M678" s="40" t="n"/>
    </row>
    <row r="679" ht="15" customHeight="1" s="25">
      <c r="E679" s="39" t="n"/>
      <c r="F679" s="39" t="n"/>
      <c r="G679" s="39">
        <f>IF(AND(E679="",F679=""),"",MAX(ABS(E679),ABS(F679)))</f>
        <v/>
      </c>
      <c r="M679" s="40" t="n"/>
    </row>
    <row r="680" ht="15" customHeight="1" s="25">
      <c r="E680" s="39" t="n"/>
      <c r="F680" s="39" t="n"/>
      <c r="G680" s="39">
        <f>IF(AND(E680="",F680=""),"",MAX(ABS(E680),ABS(F680)))</f>
        <v/>
      </c>
      <c r="M680" s="40" t="n"/>
    </row>
    <row r="681" ht="15" customHeight="1" s="25">
      <c r="E681" s="39" t="n"/>
      <c r="F681" s="39" t="n"/>
      <c r="G681" s="39">
        <f>IF(AND(E681="",F681=""),"",MAX(ABS(E681),ABS(F681)))</f>
        <v/>
      </c>
      <c r="M681" s="40" t="n"/>
    </row>
    <row r="682" ht="15" customHeight="1" s="25">
      <c r="E682" s="39" t="n"/>
      <c r="F682" s="39" t="n"/>
      <c r="G682" s="39">
        <f>IF(AND(E682="",F682=""),"",MAX(ABS(E682),ABS(F682)))</f>
        <v/>
      </c>
      <c r="M682" s="40" t="n"/>
    </row>
    <row r="683" ht="15" customHeight="1" s="25">
      <c r="E683" s="39" t="n"/>
      <c r="F683" s="39" t="n"/>
      <c r="G683" s="39">
        <f>IF(AND(E683="",F683=""),"",MAX(ABS(E683),ABS(F683)))</f>
        <v/>
      </c>
      <c r="M683" s="40" t="n"/>
    </row>
    <row r="684" ht="15" customHeight="1" s="25">
      <c r="E684" s="39" t="n"/>
      <c r="F684" s="39" t="n"/>
      <c r="G684" s="39">
        <f>IF(AND(E684="",F684=""),"",MAX(ABS(E684),ABS(F684)))</f>
        <v/>
      </c>
      <c r="M684" s="40" t="n"/>
    </row>
    <row r="685" ht="15" customHeight="1" s="25">
      <c r="E685" s="39" t="n"/>
      <c r="F685" s="39" t="n"/>
      <c r="G685" s="39">
        <f>IF(AND(E685="",F685=""),"",MAX(ABS(E685),ABS(F685)))</f>
        <v/>
      </c>
      <c r="M685" s="40" t="n"/>
    </row>
    <row r="686" ht="15" customHeight="1" s="25">
      <c r="E686" s="39" t="n"/>
      <c r="F686" s="39" t="n"/>
      <c r="G686" s="39">
        <f>IF(AND(E686="",F686=""),"",MAX(ABS(E686),ABS(F686)))</f>
        <v/>
      </c>
      <c r="M686" s="40" t="n"/>
    </row>
    <row r="687" ht="15" customHeight="1" s="25">
      <c r="E687" s="39" t="n"/>
      <c r="F687" s="39" t="n"/>
      <c r="G687" s="39">
        <f>IF(AND(E687="",F687=""),"",MAX(ABS(E687),ABS(F687)))</f>
        <v/>
      </c>
      <c r="M687" s="40" t="n"/>
    </row>
    <row r="688" ht="15" customHeight="1" s="25">
      <c r="E688" s="39" t="n"/>
      <c r="F688" s="39" t="n"/>
      <c r="G688" s="39">
        <f>IF(AND(E688="",F688=""),"",MAX(ABS(E688),ABS(F688)))</f>
        <v/>
      </c>
      <c r="M688" s="40" t="n"/>
    </row>
    <row r="689" ht="15" customHeight="1" s="25">
      <c r="E689" s="39" t="n"/>
      <c r="F689" s="39" t="n"/>
      <c r="G689" s="39">
        <f>IF(AND(E689="",F689=""),"",MAX(ABS(E689),ABS(F689)))</f>
        <v/>
      </c>
      <c r="M689" s="40" t="n"/>
    </row>
    <row r="690" ht="15" customHeight="1" s="25">
      <c r="E690" s="39" t="n"/>
      <c r="F690" s="39" t="n"/>
      <c r="G690" s="39">
        <f>IF(AND(E690="",F690=""),"",MAX(ABS(E690),ABS(F690)))</f>
        <v/>
      </c>
      <c r="M690" s="40" t="n"/>
    </row>
    <row r="691" ht="15" customHeight="1" s="25">
      <c r="E691" s="39" t="n"/>
      <c r="F691" s="39" t="n"/>
      <c r="G691" s="39">
        <f>IF(AND(E691="",F691=""),"",MAX(ABS(E691),ABS(F691)))</f>
        <v/>
      </c>
      <c r="M691" s="40" t="n"/>
    </row>
    <row r="692" ht="15" customHeight="1" s="25">
      <c r="E692" s="39" t="n"/>
      <c r="F692" s="39" t="n"/>
      <c r="G692" s="39">
        <f>IF(AND(E692="",F692=""),"",MAX(ABS(E692),ABS(F692)))</f>
        <v/>
      </c>
      <c r="M692" s="40" t="n"/>
    </row>
    <row r="693" ht="15" customHeight="1" s="25">
      <c r="E693" s="39" t="n"/>
      <c r="F693" s="39" t="n"/>
      <c r="G693" s="39">
        <f>IF(AND(E693="",F693=""),"",MAX(ABS(E693),ABS(F693)))</f>
        <v/>
      </c>
      <c r="M693" s="40" t="n"/>
    </row>
    <row r="694" ht="15" customHeight="1" s="25">
      <c r="E694" s="39" t="n"/>
      <c r="F694" s="39" t="n"/>
      <c r="G694" s="39">
        <f>IF(AND(E694="",F694=""),"",MAX(ABS(E694),ABS(F694)))</f>
        <v/>
      </c>
      <c r="M694" s="40" t="n"/>
    </row>
    <row r="695" ht="15" customHeight="1" s="25">
      <c r="E695" s="39" t="n"/>
      <c r="F695" s="39" t="n"/>
      <c r="G695" s="39">
        <f>IF(AND(E695="",F695=""),"",MAX(ABS(E695),ABS(F695)))</f>
        <v/>
      </c>
      <c r="M695" s="40" t="n"/>
    </row>
    <row r="696" ht="15" customHeight="1" s="25">
      <c r="E696" s="39" t="n"/>
      <c r="F696" s="39" t="n"/>
      <c r="G696" s="39">
        <f>IF(AND(E696="",F696=""),"",MAX(ABS(E696),ABS(F696)))</f>
        <v/>
      </c>
      <c r="M696" s="40" t="n"/>
    </row>
    <row r="697" ht="15" customHeight="1" s="25">
      <c r="E697" s="39" t="n"/>
      <c r="F697" s="39" t="n"/>
      <c r="G697" s="39">
        <f>IF(AND(E697="",F697=""),"",MAX(ABS(E697),ABS(F697)))</f>
        <v/>
      </c>
      <c r="M697" s="40" t="n"/>
    </row>
    <row r="698" ht="15" customHeight="1" s="25">
      <c r="E698" s="39" t="n"/>
      <c r="F698" s="39" t="n"/>
      <c r="G698" s="39">
        <f>IF(AND(E698="",F698=""),"",MAX(ABS(E698),ABS(F698)))</f>
        <v/>
      </c>
      <c r="M698" s="40" t="n"/>
    </row>
    <row r="699" ht="15" customHeight="1" s="25">
      <c r="E699" s="39" t="n"/>
      <c r="F699" s="39" t="n"/>
      <c r="G699" s="39">
        <f>IF(AND(E699="",F699=""),"",MAX(ABS(E699),ABS(F699)))</f>
        <v/>
      </c>
      <c r="M699" s="40" t="n"/>
    </row>
    <row r="700" ht="15" customHeight="1" s="25">
      <c r="E700" s="39" t="n"/>
      <c r="F700" s="39" t="n"/>
      <c r="G700" s="39">
        <f>IF(AND(E700="",F700=""),"",MAX(ABS(E700),ABS(F700)))</f>
        <v/>
      </c>
      <c r="M700" s="40" t="n"/>
    </row>
    <row r="701" ht="15" customHeight="1" s="25">
      <c r="E701" s="39" t="n"/>
      <c r="F701" s="39" t="n"/>
      <c r="G701" s="39">
        <f>IF(AND(E701="",F701=""),"",MAX(ABS(E701),ABS(F701)))</f>
        <v/>
      </c>
      <c r="M701" s="40" t="n"/>
    </row>
    <row r="702" ht="15" customHeight="1" s="25">
      <c r="E702" s="39" t="n"/>
      <c r="F702" s="39" t="n"/>
      <c r="G702" s="39">
        <f>IF(AND(E702="",F702=""),"",MAX(ABS(E702),ABS(F702)))</f>
        <v/>
      </c>
      <c r="M702" s="40" t="n"/>
    </row>
    <row r="703" ht="15" customHeight="1" s="25">
      <c r="E703" s="39" t="n"/>
      <c r="F703" s="39" t="n"/>
      <c r="G703" s="39">
        <f>IF(AND(E703="",F703=""),"",MAX(ABS(E703),ABS(F703)))</f>
        <v/>
      </c>
      <c r="M703" s="40" t="n"/>
    </row>
    <row r="704" ht="15" customHeight="1" s="25">
      <c r="E704" s="39" t="n"/>
      <c r="F704" s="39" t="n"/>
      <c r="G704" s="39">
        <f>IF(AND(E704="",F704=""),"",MAX(ABS(E704),ABS(F704)))</f>
        <v/>
      </c>
      <c r="M704" s="40" t="n"/>
    </row>
    <row r="705" ht="15" customHeight="1" s="25">
      <c r="E705" s="39" t="n"/>
      <c r="F705" s="39" t="n"/>
      <c r="G705" s="39">
        <f>IF(AND(E705="",F705=""),"",MAX(ABS(E705),ABS(F705)))</f>
        <v/>
      </c>
      <c r="M705" s="40" t="n"/>
    </row>
    <row r="706" ht="15" customHeight="1" s="25">
      <c r="E706" s="39" t="n"/>
      <c r="F706" s="39" t="n"/>
      <c r="G706" s="39">
        <f>IF(AND(E706="",F706=""),"",MAX(ABS(E706),ABS(F706)))</f>
        <v/>
      </c>
      <c r="M706" s="40" t="n"/>
    </row>
    <row r="707" ht="15" customHeight="1" s="25">
      <c r="E707" s="39" t="n"/>
      <c r="F707" s="39" t="n"/>
      <c r="G707" s="39">
        <f>IF(AND(E707="",F707=""),"",MAX(ABS(E707),ABS(F707)))</f>
        <v/>
      </c>
      <c r="M707" s="40" t="n"/>
    </row>
    <row r="708" ht="15" customHeight="1" s="25">
      <c r="E708" s="39" t="n"/>
      <c r="F708" s="39" t="n"/>
      <c r="G708" s="39">
        <f>IF(AND(E708="",F708=""),"",MAX(ABS(E708),ABS(F708)))</f>
        <v/>
      </c>
      <c r="M708" s="40" t="n"/>
    </row>
    <row r="709" ht="15" customHeight="1" s="25">
      <c r="E709" s="39" t="n"/>
      <c r="F709" s="39" t="n"/>
      <c r="G709" s="39">
        <f>IF(AND(E709="",F709=""),"",MAX(ABS(E709),ABS(F709)))</f>
        <v/>
      </c>
      <c r="M709" s="40" t="n"/>
    </row>
    <row r="710" ht="15" customHeight="1" s="25">
      <c r="E710" s="39" t="n"/>
      <c r="F710" s="39" t="n"/>
      <c r="G710" s="39">
        <f>IF(AND(E710="",F710=""),"",MAX(ABS(E710),ABS(F710)))</f>
        <v/>
      </c>
      <c r="M710" s="40" t="n"/>
    </row>
    <row r="711" ht="15" customHeight="1" s="25">
      <c r="E711" s="39" t="n"/>
      <c r="F711" s="39" t="n"/>
      <c r="G711" s="39">
        <f>IF(AND(E711="",F711=""),"",MAX(ABS(E711),ABS(F711)))</f>
        <v/>
      </c>
      <c r="M711" s="40" t="n"/>
    </row>
    <row r="712" ht="15" customHeight="1" s="25">
      <c r="E712" s="39" t="n"/>
      <c r="F712" s="39" t="n"/>
      <c r="G712" s="39">
        <f>IF(AND(E712="",F712=""),"",MAX(ABS(E712),ABS(F712)))</f>
        <v/>
      </c>
      <c r="M712" s="40" t="n"/>
    </row>
    <row r="713" ht="15" customHeight="1" s="25">
      <c r="E713" s="39" t="n"/>
      <c r="F713" s="39" t="n"/>
      <c r="G713" s="39">
        <f>IF(AND(E713="",F713=""),"",MAX(ABS(E713),ABS(F713)))</f>
        <v/>
      </c>
      <c r="M713" s="40" t="n"/>
    </row>
    <row r="714" ht="15" customHeight="1" s="25">
      <c r="E714" s="39" t="n"/>
      <c r="F714" s="39" t="n"/>
      <c r="G714" s="39">
        <f>IF(AND(E714="",F714=""),"",MAX(ABS(E714),ABS(F714)))</f>
        <v/>
      </c>
      <c r="M714" s="40" t="n"/>
    </row>
    <row r="715" ht="15" customHeight="1" s="25">
      <c r="E715" s="39" t="n"/>
      <c r="F715" s="39" t="n"/>
      <c r="G715" s="39">
        <f>IF(AND(E715="",F715=""),"",MAX(ABS(E715),ABS(F715)))</f>
        <v/>
      </c>
      <c r="M715" s="40" t="n"/>
    </row>
    <row r="716" ht="15" customHeight="1" s="25">
      <c r="E716" s="39" t="n"/>
      <c r="F716" s="39" t="n"/>
      <c r="G716" s="39">
        <f>IF(AND(E716="",F716=""),"",MAX(ABS(E716),ABS(F716)))</f>
        <v/>
      </c>
      <c r="M716" s="40" t="n"/>
    </row>
    <row r="717" ht="15" customHeight="1" s="25">
      <c r="E717" s="39" t="n"/>
      <c r="F717" s="39" t="n"/>
      <c r="G717" s="39">
        <f>IF(AND(E717="",F717=""),"",MAX(ABS(E717),ABS(F717)))</f>
        <v/>
      </c>
      <c r="M717" s="40" t="n"/>
    </row>
    <row r="718" ht="15" customHeight="1" s="25">
      <c r="E718" s="39" t="n"/>
      <c r="F718" s="39" t="n"/>
      <c r="G718" s="39">
        <f>IF(AND(E718="",F718=""),"",MAX(ABS(E718),ABS(F718)))</f>
        <v/>
      </c>
      <c r="M718" s="40" t="n"/>
    </row>
    <row r="719" ht="15" customHeight="1" s="25">
      <c r="E719" s="39" t="n"/>
      <c r="F719" s="39" t="n"/>
      <c r="G719" s="39">
        <f>IF(AND(E719="",F719=""),"",MAX(ABS(E719),ABS(F719)))</f>
        <v/>
      </c>
      <c r="M719" s="40" t="n"/>
    </row>
    <row r="720" ht="15" customHeight="1" s="25">
      <c r="E720" s="39" t="n"/>
      <c r="F720" s="39" t="n"/>
      <c r="G720" s="39">
        <f>IF(AND(E720="",F720=""),"",MAX(ABS(E720),ABS(F720)))</f>
        <v/>
      </c>
      <c r="M720" s="40" t="n"/>
    </row>
    <row r="721" ht="15" customHeight="1" s="25">
      <c r="E721" s="39" t="n"/>
      <c r="F721" s="39" t="n"/>
      <c r="G721" s="39">
        <f>IF(AND(E721="",F721=""),"",MAX(ABS(E721),ABS(F721)))</f>
        <v/>
      </c>
      <c r="M721" s="40" t="n"/>
    </row>
    <row r="722" ht="15" customHeight="1" s="25">
      <c r="E722" s="39" t="n"/>
      <c r="F722" s="39" t="n"/>
      <c r="G722" s="39">
        <f>IF(AND(E722="",F722=""),"",MAX(ABS(E722),ABS(F722)))</f>
        <v/>
      </c>
      <c r="M722" s="40" t="n"/>
    </row>
    <row r="723" ht="15" customHeight="1" s="25">
      <c r="E723" s="39" t="n"/>
      <c r="F723" s="39" t="n"/>
      <c r="G723" s="39">
        <f>IF(AND(E723="",F723=""),"",MAX(ABS(E723),ABS(F723)))</f>
        <v/>
      </c>
      <c r="M723" s="40" t="n"/>
    </row>
    <row r="724" ht="15" customHeight="1" s="25">
      <c r="E724" s="39" t="n"/>
      <c r="F724" s="39" t="n"/>
      <c r="G724" s="39">
        <f>IF(AND(E724="",F724=""),"",MAX(ABS(E724),ABS(F724)))</f>
        <v/>
      </c>
      <c r="M724" s="40" t="n"/>
    </row>
    <row r="725" ht="15" customHeight="1" s="25">
      <c r="E725" s="39" t="n"/>
      <c r="F725" s="39" t="n"/>
      <c r="G725" s="39">
        <f>IF(AND(E725="",F725=""),"",MAX(ABS(E725),ABS(F725)))</f>
        <v/>
      </c>
      <c r="M725" s="40" t="n"/>
    </row>
    <row r="726" ht="15" customHeight="1" s="25">
      <c r="E726" s="39" t="n"/>
      <c r="F726" s="39" t="n"/>
      <c r="G726" s="39">
        <f>IF(AND(E726="",F726=""),"",MAX(ABS(E726),ABS(F726)))</f>
        <v/>
      </c>
      <c r="M726" s="40" t="n"/>
    </row>
    <row r="727" ht="15" customHeight="1" s="25">
      <c r="E727" s="39" t="n"/>
      <c r="F727" s="39" t="n"/>
      <c r="G727" s="39">
        <f>IF(AND(E727="",F727=""),"",MAX(ABS(E727),ABS(F727)))</f>
        <v/>
      </c>
      <c r="M727" s="40" t="n"/>
    </row>
    <row r="728" ht="15" customHeight="1" s="25">
      <c r="E728" s="39" t="n"/>
      <c r="F728" s="39" t="n"/>
      <c r="G728" s="39">
        <f>IF(AND(E728="",F728=""),"",MAX(ABS(E728),ABS(F728)))</f>
        <v/>
      </c>
      <c r="M728" s="40" t="n"/>
    </row>
    <row r="729" ht="15" customHeight="1" s="25">
      <c r="E729" s="39" t="n"/>
      <c r="F729" s="39" t="n"/>
      <c r="G729" s="39">
        <f>IF(AND(E729="",F729=""),"",MAX(ABS(E729),ABS(F729)))</f>
        <v/>
      </c>
      <c r="M729" s="40" t="n"/>
    </row>
    <row r="730" ht="15" customHeight="1" s="25">
      <c r="E730" s="39" t="n"/>
      <c r="F730" s="39" t="n"/>
      <c r="G730" s="39">
        <f>IF(AND(E730="",F730=""),"",MAX(ABS(E730),ABS(F730)))</f>
        <v/>
      </c>
      <c r="M730" s="40" t="n"/>
    </row>
    <row r="731" ht="15" customHeight="1" s="25">
      <c r="E731" s="39" t="n"/>
      <c r="F731" s="39" t="n"/>
      <c r="G731" s="39">
        <f>IF(AND(E731="",F731=""),"",MAX(ABS(E731),ABS(F731)))</f>
        <v/>
      </c>
      <c r="M731" s="40" t="n"/>
    </row>
    <row r="732" ht="15" customHeight="1" s="25">
      <c r="E732" s="39" t="n"/>
      <c r="F732" s="39" t="n"/>
      <c r="G732" s="39">
        <f>IF(AND(E732="",F732=""),"",MAX(ABS(E732),ABS(F732)))</f>
        <v/>
      </c>
      <c r="M732" s="40" t="n"/>
    </row>
    <row r="733" ht="15" customHeight="1" s="25">
      <c r="E733" s="39" t="n"/>
      <c r="F733" s="39" t="n"/>
      <c r="G733" s="39">
        <f>IF(AND(E733="",F733=""),"",MAX(ABS(E733),ABS(F733)))</f>
        <v/>
      </c>
      <c r="M733" s="40" t="n"/>
    </row>
    <row r="734" ht="15" customHeight="1" s="25">
      <c r="E734" s="39" t="n"/>
      <c r="F734" s="39" t="n"/>
      <c r="G734" s="39">
        <f>IF(AND(E734="",F734=""),"",MAX(ABS(E734),ABS(F734)))</f>
        <v/>
      </c>
      <c r="M734" s="40" t="n"/>
    </row>
    <row r="735" ht="15" customHeight="1" s="25">
      <c r="E735" s="39" t="n"/>
      <c r="F735" s="39" t="n"/>
      <c r="G735" s="39">
        <f>IF(AND(E735="",F735=""),"",MAX(ABS(E735),ABS(F735)))</f>
        <v/>
      </c>
      <c r="M735" s="40" t="n"/>
    </row>
    <row r="736" ht="15" customHeight="1" s="25">
      <c r="E736" s="39" t="n"/>
      <c r="F736" s="39" t="n"/>
      <c r="G736" s="39">
        <f>IF(AND(E736="",F736=""),"",MAX(ABS(E736),ABS(F736)))</f>
        <v/>
      </c>
      <c r="M736" s="40" t="n"/>
    </row>
    <row r="737" ht="15" customHeight="1" s="25">
      <c r="E737" s="39" t="n"/>
      <c r="F737" s="39" t="n"/>
      <c r="G737" s="39">
        <f>IF(AND(E737="",F737=""),"",MAX(ABS(E737),ABS(F737)))</f>
        <v/>
      </c>
      <c r="M737" s="40" t="n"/>
    </row>
    <row r="738" ht="15" customHeight="1" s="25">
      <c r="E738" s="39" t="n"/>
      <c r="F738" s="39" t="n"/>
      <c r="G738" s="39">
        <f>IF(AND(E738="",F738=""),"",MAX(ABS(E738),ABS(F738)))</f>
        <v/>
      </c>
      <c r="M738" s="40" t="n"/>
    </row>
    <row r="739" ht="15" customHeight="1" s="25">
      <c r="E739" s="39" t="n"/>
      <c r="F739" s="39" t="n"/>
      <c r="G739" s="39">
        <f>IF(AND(E739="",F739=""),"",MAX(ABS(E739),ABS(F739)))</f>
        <v/>
      </c>
      <c r="M739" s="40" t="n"/>
    </row>
    <row r="740" ht="15" customHeight="1" s="25">
      <c r="E740" s="39" t="n"/>
      <c r="F740" s="39" t="n"/>
      <c r="G740" s="39">
        <f>IF(AND(E740="",F740=""),"",MAX(ABS(E740),ABS(F740)))</f>
        <v/>
      </c>
      <c r="M740" s="40" t="n"/>
    </row>
    <row r="741" ht="15" customHeight="1" s="25">
      <c r="E741" s="39" t="n"/>
      <c r="F741" s="39" t="n"/>
      <c r="G741" s="39">
        <f>IF(AND(E741="",F741=""),"",MAX(ABS(E741),ABS(F741)))</f>
        <v/>
      </c>
      <c r="M741" s="40" t="n"/>
    </row>
    <row r="742" ht="15" customHeight="1" s="25">
      <c r="E742" s="39" t="n"/>
      <c r="F742" s="39" t="n"/>
      <c r="G742" s="39">
        <f>IF(AND(E742="",F742=""),"",MAX(ABS(E742),ABS(F742)))</f>
        <v/>
      </c>
      <c r="M742" s="40" t="n"/>
    </row>
    <row r="743" ht="15" customHeight="1" s="25">
      <c r="E743" s="39" t="n"/>
      <c r="F743" s="39" t="n"/>
      <c r="G743" s="39">
        <f>IF(AND(E743="",F743=""),"",MAX(ABS(E743),ABS(F743)))</f>
        <v/>
      </c>
      <c r="M743" s="40" t="n"/>
    </row>
    <row r="744" ht="15" customHeight="1" s="25">
      <c r="E744" s="39" t="n"/>
      <c r="F744" s="39" t="n"/>
      <c r="G744" s="39">
        <f>IF(AND(E744="",F744=""),"",MAX(ABS(E744),ABS(F744)))</f>
        <v/>
      </c>
      <c r="M744" s="40" t="n"/>
    </row>
    <row r="745" ht="15" customHeight="1" s="25">
      <c r="E745" s="39" t="n"/>
      <c r="F745" s="39" t="n"/>
      <c r="G745" s="39">
        <f>IF(AND(E745="",F745=""),"",MAX(ABS(E745),ABS(F745)))</f>
        <v/>
      </c>
      <c r="M745" s="40" t="n"/>
    </row>
    <row r="746" ht="15" customHeight="1" s="25">
      <c r="E746" s="39" t="n"/>
      <c r="F746" s="39" t="n"/>
      <c r="G746" s="39">
        <f>IF(AND(E746="",F746=""),"",MAX(ABS(E746),ABS(F746)))</f>
        <v/>
      </c>
      <c r="M746" s="40" t="n"/>
    </row>
    <row r="747" ht="15" customHeight="1" s="25">
      <c r="E747" s="39" t="n"/>
      <c r="F747" s="39" t="n"/>
      <c r="G747" s="39">
        <f>IF(AND(E747="",F747=""),"",MAX(ABS(E747),ABS(F747)))</f>
        <v/>
      </c>
      <c r="M747" s="40" t="n"/>
    </row>
    <row r="748" ht="15" customHeight="1" s="25">
      <c r="E748" s="39" t="n"/>
      <c r="F748" s="39" t="n"/>
      <c r="G748" s="39">
        <f>IF(AND(E748="",F748=""),"",MAX(ABS(E748),ABS(F748)))</f>
        <v/>
      </c>
      <c r="M748" s="40" t="n"/>
    </row>
    <row r="749" ht="15" customHeight="1" s="25">
      <c r="E749" s="39" t="n"/>
      <c r="F749" s="39" t="n"/>
      <c r="G749" s="39">
        <f>IF(AND(E749="",F749=""),"",MAX(ABS(E749),ABS(F749)))</f>
        <v/>
      </c>
      <c r="M749" s="40" t="n"/>
    </row>
    <row r="750" ht="15" customHeight="1" s="25">
      <c r="E750" s="39" t="n"/>
      <c r="F750" s="39" t="n"/>
      <c r="G750" s="39">
        <f>IF(AND(E750="",F750=""),"",MAX(ABS(E750),ABS(F750)))</f>
        <v/>
      </c>
      <c r="M750" s="40" t="n"/>
    </row>
    <row r="751" ht="15" customHeight="1" s="25">
      <c r="E751" s="39" t="n"/>
      <c r="F751" s="39" t="n"/>
      <c r="G751" s="39">
        <f>IF(AND(E751="",F751=""),"",MAX(ABS(E751),ABS(F751)))</f>
        <v/>
      </c>
      <c r="M751" s="40" t="n"/>
    </row>
    <row r="752" ht="15" customHeight="1" s="25">
      <c r="E752" s="39" t="n"/>
      <c r="F752" s="39" t="n"/>
      <c r="G752" s="39">
        <f>IF(AND(E752="",F752=""),"",MAX(ABS(E752),ABS(F752)))</f>
        <v/>
      </c>
      <c r="M752" s="40" t="n"/>
    </row>
    <row r="753" ht="15" customHeight="1" s="25">
      <c r="E753" s="39" t="n"/>
      <c r="F753" s="39" t="n"/>
      <c r="G753" s="39">
        <f>IF(AND(E753="",F753=""),"",MAX(ABS(E753),ABS(F753)))</f>
        <v/>
      </c>
      <c r="M753" s="40" t="n"/>
    </row>
    <row r="754" ht="15" customHeight="1" s="25">
      <c r="E754" s="39" t="n"/>
      <c r="F754" s="39" t="n"/>
      <c r="G754" s="39">
        <f>IF(AND(E754="",F754=""),"",MAX(ABS(E754),ABS(F754)))</f>
        <v/>
      </c>
      <c r="M754" s="40" t="n"/>
    </row>
    <row r="755" ht="15" customHeight="1" s="25">
      <c r="E755" s="39" t="n"/>
      <c r="F755" s="39" t="n"/>
      <c r="G755" s="39">
        <f>IF(AND(E755="",F755=""),"",MAX(ABS(E755),ABS(F755)))</f>
        <v/>
      </c>
      <c r="M755" s="40" t="n"/>
    </row>
    <row r="756" ht="15" customHeight="1" s="25">
      <c r="E756" s="39" t="n"/>
      <c r="F756" s="39" t="n"/>
      <c r="G756" s="39">
        <f>IF(AND(E756="",F756=""),"",MAX(ABS(E756),ABS(F756)))</f>
        <v/>
      </c>
      <c r="M756" s="40" t="n"/>
    </row>
    <row r="757" ht="15" customHeight="1" s="25">
      <c r="E757" s="39" t="n"/>
      <c r="F757" s="39" t="n"/>
      <c r="G757" s="39">
        <f>IF(AND(E757="",F757=""),"",MAX(ABS(E757),ABS(F757)))</f>
        <v/>
      </c>
      <c r="M757" s="40" t="n"/>
    </row>
    <row r="758" ht="15" customHeight="1" s="25">
      <c r="E758" s="39" t="n"/>
      <c r="F758" s="39" t="n"/>
      <c r="G758" s="39">
        <f>IF(AND(E758="",F758=""),"",MAX(ABS(E758),ABS(F758)))</f>
        <v/>
      </c>
      <c r="M758" s="40" t="n"/>
    </row>
    <row r="759" ht="15" customHeight="1" s="25">
      <c r="E759" s="39" t="n"/>
      <c r="F759" s="39" t="n"/>
      <c r="G759" s="39">
        <f>IF(AND(E759="",F759=""),"",MAX(ABS(E759),ABS(F759)))</f>
        <v/>
      </c>
      <c r="M759" s="40" t="n"/>
    </row>
    <row r="760" ht="15" customHeight="1" s="25">
      <c r="E760" s="39" t="n"/>
      <c r="F760" s="39" t="n"/>
      <c r="G760" s="39">
        <f>IF(AND(E760="",F760=""),"",MAX(ABS(E760),ABS(F760)))</f>
        <v/>
      </c>
      <c r="M760" s="40" t="n"/>
    </row>
    <row r="761" ht="15" customHeight="1" s="25">
      <c r="E761" s="39" t="n"/>
      <c r="F761" s="39" t="n"/>
      <c r="G761" s="39">
        <f>IF(AND(E761="",F761=""),"",MAX(ABS(E761),ABS(F761)))</f>
        <v/>
      </c>
      <c r="M761" s="40" t="n"/>
    </row>
    <row r="762" ht="15" customHeight="1" s="25">
      <c r="E762" s="39" t="n"/>
      <c r="F762" s="39" t="n"/>
      <c r="G762" s="39">
        <f>IF(AND(E762="",F762=""),"",MAX(ABS(E762),ABS(F762)))</f>
        <v/>
      </c>
      <c r="M762" s="40" t="n"/>
    </row>
    <row r="763" ht="15" customHeight="1" s="25">
      <c r="E763" s="39" t="n"/>
      <c r="F763" s="39" t="n"/>
      <c r="G763" s="39">
        <f>IF(AND(E763="",F763=""),"",MAX(ABS(E763),ABS(F763)))</f>
        <v/>
      </c>
      <c r="M763" s="40" t="n"/>
    </row>
    <row r="764" ht="15" customHeight="1" s="25">
      <c r="E764" s="39" t="n"/>
      <c r="F764" s="39" t="n"/>
      <c r="G764" s="39">
        <f>IF(AND(E764="",F764=""),"",MAX(ABS(E764),ABS(F764)))</f>
        <v/>
      </c>
      <c r="M764" s="40" t="n"/>
    </row>
    <row r="765" ht="15" customHeight="1" s="25">
      <c r="E765" s="39" t="n"/>
      <c r="F765" s="39" t="n"/>
      <c r="G765" s="39">
        <f>IF(AND(E765="",F765=""),"",MAX(ABS(E765),ABS(F765)))</f>
        <v/>
      </c>
      <c r="M765" s="40" t="n"/>
    </row>
    <row r="766" ht="15" customHeight="1" s="25">
      <c r="E766" s="39" t="n"/>
      <c r="F766" s="39" t="n"/>
      <c r="G766" s="39">
        <f>IF(AND(E766="",F766=""),"",MAX(ABS(E766),ABS(F766)))</f>
        <v/>
      </c>
      <c r="M766" s="40" t="n"/>
    </row>
    <row r="767" ht="15" customHeight="1" s="25">
      <c r="E767" s="39" t="n"/>
      <c r="F767" s="39" t="n"/>
      <c r="G767" s="39">
        <f>IF(AND(E767="",F767=""),"",MAX(ABS(E767),ABS(F767)))</f>
        <v/>
      </c>
      <c r="M767" s="40" t="n"/>
    </row>
    <row r="768" ht="15" customHeight="1" s="25">
      <c r="E768" s="39" t="n"/>
      <c r="F768" s="39" t="n"/>
      <c r="G768" s="39">
        <f>IF(AND(E768="",F768=""),"",MAX(ABS(E768),ABS(F768)))</f>
        <v/>
      </c>
      <c r="M768" s="40" t="n"/>
    </row>
    <row r="769" ht="15" customHeight="1" s="25">
      <c r="E769" s="39" t="n"/>
      <c r="F769" s="39" t="n"/>
      <c r="G769" s="39">
        <f>IF(AND(E769="",F769=""),"",MAX(ABS(E769),ABS(F769)))</f>
        <v/>
      </c>
      <c r="M769" s="40" t="n"/>
    </row>
    <row r="770" ht="15" customHeight="1" s="25">
      <c r="E770" s="39" t="n"/>
      <c r="F770" s="39" t="n"/>
      <c r="G770" s="39">
        <f>IF(AND(E770="",F770=""),"",MAX(ABS(E770),ABS(F770)))</f>
        <v/>
      </c>
      <c r="M770" s="40" t="n"/>
    </row>
    <row r="771" ht="15" customHeight="1" s="25">
      <c r="E771" s="39" t="n"/>
      <c r="F771" s="39" t="n"/>
      <c r="G771" s="39">
        <f>IF(AND(E771="",F771=""),"",MAX(ABS(E771),ABS(F771)))</f>
        <v/>
      </c>
      <c r="M771" s="40" t="n"/>
    </row>
    <row r="772" ht="15" customHeight="1" s="25">
      <c r="E772" s="39" t="n"/>
      <c r="F772" s="39" t="n"/>
      <c r="G772" s="39">
        <f>IF(AND(E772="",F772=""),"",MAX(ABS(E772),ABS(F772)))</f>
        <v/>
      </c>
      <c r="M772" s="40" t="n"/>
    </row>
    <row r="773" ht="15" customHeight="1" s="25">
      <c r="E773" s="39" t="n"/>
      <c r="F773" s="39" t="n"/>
      <c r="G773" s="39">
        <f>IF(AND(E773="",F773=""),"",MAX(ABS(E773),ABS(F773)))</f>
        <v/>
      </c>
      <c r="M773" s="40" t="n"/>
    </row>
    <row r="774" ht="15" customHeight="1" s="25">
      <c r="E774" s="39" t="n"/>
      <c r="F774" s="39" t="n"/>
      <c r="G774" s="39">
        <f>IF(AND(E774="",F774=""),"",MAX(ABS(E774),ABS(F774)))</f>
        <v/>
      </c>
      <c r="M774" s="40" t="n"/>
    </row>
    <row r="775" ht="15" customHeight="1" s="25">
      <c r="E775" s="39" t="n"/>
      <c r="F775" s="39" t="n"/>
      <c r="G775" s="39">
        <f>IF(AND(E775="",F775=""),"",MAX(ABS(E775),ABS(F775)))</f>
        <v/>
      </c>
      <c r="M775" s="40" t="n"/>
    </row>
    <row r="776" ht="15" customHeight="1" s="25">
      <c r="E776" s="39" t="n"/>
      <c r="F776" s="39" t="n"/>
      <c r="G776" s="39">
        <f>IF(AND(E776="",F776=""),"",MAX(ABS(E776),ABS(F776)))</f>
        <v/>
      </c>
      <c r="M776" s="40" t="n"/>
    </row>
    <row r="777" ht="15" customHeight="1" s="25">
      <c r="E777" s="39" t="n"/>
      <c r="F777" s="39" t="n"/>
      <c r="G777" s="39">
        <f>IF(AND(E777="",F777=""),"",MAX(ABS(E777),ABS(F777)))</f>
        <v/>
      </c>
      <c r="M777" s="40" t="n"/>
    </row>
    <row r="778" ht="15" customHeight="1" s="25">
      <c r="E778" s="39" t="n"/>
      <c r="F778" s="39" t="n"/>
      <c r="G778" s="39">
        <f>IF(AND(E778="",F778=""),"",MAX(ABS(E778),ABS(F778)))</f>
        <v/>
      </c>
      <c r="M778" s="40" t="n"/>
    </row>
    <row r="779" ht="15" customHeight="1" s="25">
      <c r="E779" s="39" t="n"/>
      <c r="F779" s="39" t="n"/>
      <c r="G779" s="39">
        <f>IF(AND(E779="",F779=""),"",MAX(ABS(E779),ABS(F779)))</f>
        <v/>
      </c>
      <c r="M779" s="40" t="n"/>
    </row>
    <row r="780" ht="15" customHeight="1" s="25">
      <c r="E780" s="39" t="n"/>
      <c r="F780" s="39" t="n"/>
      <c r="G780" s="39">
        <f>IF(AND(E780="",F780=""),"",MAX(ABS(E780),ABS(F780)))</f>
        <v/>
      </c>
      <c r="M780" s="40" t="n"/>
    </row>
    <row r="781" ht="15" customHeight="1" s="25">
      <c r="E781" s="39" t="n"/>
      <c r="F781" s="39" t="n"/>
      <c r="G781" s="39">
        <f>IF(AND(E781="",F781=""),"",MAX(ABS(E781),ABS(F781)))</f>
        <v/>
      </c>
      <c r="M781" s="40" t="n"/>
    </row>
    <row r="782" ht="15" customHeight="1" s="25">
      <c r="E782" s="39" t="n"/>
      <c r="F782" s="39" t="n"/>
      <c r="G782" s="39">
        <f>IF(AND(E782="",F782=""),"",MAX(ABS(E782),ABS(F782)))</f>
        <v/>
      </c>
      <c r="M782" s="40" t="n"/>
    </row>
    <row r="783" ht="15" customHeight="1" s="25">
      <c r="E783" s="39" t="n"/>
      <c r="F783" s="39" t="n"/>
      <c r="G783" s="39">
        <f>IF(AND(E783="",F783=""),"",MAX(ABS(E783),ABS(F783)))</f>
        <v/>
      </c>
      <c r="M783" s="40" t="n"/>
    </row>
    <row r="784" ht="15" customHeight="1" s="25">
      <c r="E784" s="39" t="n"/>
      <c r="F784" s="39" t="n"/>
      <c r="G784" s="39">
        <f>IF(AND(E784="",F784=""),"",MAX(ABS(E784),ABS(F784)))</f>
        <v/>
      </c>
      <c r="M784" s="40" t="n"/>
    </row>
    <row r="785" ht="15" customHeight="1" s="25">
      <c r="E785" s="39" t="n"/>
      <c r="F785" s="39" t="n"/>
      <c r="G785" s="39">
        <f>IF(AND(E785="",F785=""),"",MAX(ABS(E785),ABS(F785)))</f>
        <v/>
      </c>
      <c r="M785" s="40" t="n"/>
    </row>
    <row r="786" ht="15" customHeight="1" s="25">
      <c r="E786" s="39" t="n"/>
      <c r="F786" s="39" t="n"/>
      <c r="G786" s="39">
        <f>IF(AND(E786="",F786=""),"",MAX(ABS(E786),ABS(F786)))</f>
        <v/>
      </c>
      <c r="M786" s="40" t="n"/>
    </row>
    <row r="787" ht="15" customHeight="1" s="25">
      <c r="E787" s="39" t="n"/>
      <c r="F787" s="39" t="n"/>
      <c r="G787" s="39">
        <f>IF(AND(E787="",F787=""),"",MAX(ABS(E787),ABS(F787)))</f>
        <v/>
      </c>
      <c r="M787" s="40" t="n"/>
    </row>
    <row r="788" ht="15" customHeight="1" s="25">
      <c r="E788" s="39" t="n"/>
      <c r="F788" s="39" t="n"/>
      <c r="G788" s="39">
        <f>IF(AND(E788="",F788=""),"",MAX(ABS(E788),ABS(F788)))</f>
        <v/>
      </c>
      <c r="M788" s="40" t="n"/>
    </row>
    <row r="789" ht="15" customHeight="1" s="25">
      <c r="E789" s="39" t="n"/>
      <c r="F789" s="39" t="n"/>
      <c r="G789" s="39">
        <f>IF(AND(E789="",F789=""),"",MAX(ABS(E789),ABS(F789)))</f>
        <v/>
      </c>
      <c r="M789" s="40" t="n"/>
    </row>
    <row r="790" ht="15" customHeight="1" s="25">
      <c r="E790" s="39" t="n"/>
      <c r="F790" s="39" t="n"/>
      <c r="G790" s="39">
        <f>IF(AND(E790="",F790=""),"",MAX(ABS(E790),ABS(F790)))</f>
        <v/>
      </c>
      <c r="M790" s="40" t="n"/>
    </row>
    <row r="791" ht="15" customHeight="1" s="25">
      <c r="E791" s="39" t="n"/>
      <c r="F791" s="39" t="n"/>
      <c r="G791" s="39">
        <f>IF(AND(E791="",F791=""),"",MAX(ABS(E791),ABS(F791)))</f>
        <v/>
      </c>
      <c r="M791" s="40" t="n"/>
    </row>
    <row r="792" ht="15" customHeight="1" s="25">
      <c r="E792" s="39" t="n"/>
      <c r="F792" s="39" t="n"/>
      <c r="G792" s="39">
        <f>IF(AND(E792="",F792=""),"",MAX(ABS(E792),ABS(F792)))</f>
        <v/>
      </c>
      <c r="M792" s="40" t="n"/>
    </row>
    <row r="793" ht="15" customHeight="1" s="25">
      <c r="E793" s="39" t="n"/>
      <c r="F793" s="39" t="n"/>
      <c r="G793" s="39">
        <f>IF(AND(E793="",F793=""),"",MAX(ABS(E793),ABS(F793)))</f>
        <v/>
      </c>
      <c r="M793" s="40" t="n"/>
    </row>
    <row r="794" ht="15" customHeight="1" s="25">
      <c r="E794" s="39" t="n"/>
      <c r="F794" s="39" t="n"/>
      <c r="G794" s="39">
        <f>IF(AND(E794="",F794=""),"",MAX(ABS(E794),ABS(F794)))</f>
        <v/>
      </c>
      <c r="M794" s="40" t="n"/>
    </row>
    <row r="795" ht="15" customHeight="1" s="25">
      <c r="E795" s="39" t="n"/>
      <c r="F795" s="39" t="n"/>
      <c r="G795" s="39">
        <f>IF(AND(E795="",F795=""),"",MAX(ABS(E795),ABS(F795)))</f>
        <v/>
      </c>
      <c r="M795" s="40" t="n"/>
    </row>
    <row r="796" ht="15" customHeight="1" s="25">
      <c r="E796" s="39" t="n"/>
      <c r="F796" s="39" t="n"/>
      <c r="G796" s="39">
        <f>IF(AND(E796="",F796=""),"",MAX(ABS(E796),ABS(F796)))</f>
        <v/>
      </c>
      <c r="M796" s="40" t="n"/>
    </row>
    <row r="797" ht="15" customHeight="1" s="25">
      <c r="E797" s="39" t="n"/>
      <c r="F797" s="39" t="n"/>
      <c r="G797" s="39">
        <f>IF(AND(E797="",F797=""),"",MAX(ABS(E797),ABS(F797)))</f>
        <v/>
      </c>
      <c r="M797" s="40" t="n"/>
    </row>
    <row r="798" ht="15" customHeight="1" s="25">
      <c r="E798" s="39" t="n"/>
      <c r="F798" s="39" t="n"/>
      <c r="G798" s="39">
        <f>IF(AND(E798="",F798=""),"",MAX(ABS(E798),ABS(F798)))</f>
        <v/>
      </c>
      <c r="M798" s="40" t="n"/>
    </row>
    <row r="799" ht="15" customHeight="1" s="25">
      <c r="E799" s="39" t="n"/>
      <c r="F799" s="39" t="n"/>
      <c r="G799" s="39">
        <f>IF(AND(E799="",F799=""),"",MAX(ABS(E799),ABS(F799)))</f>
        <v/>
      </c>
      <c r="M799" s="40" t="n"/>
    </row>
    <row r="800" ht="15" customHeight="1" s="25">
      <c r="E800" s="39" t="n"/>
      <c r="F800" s="39" t="n"/>
      <c r="G800" s="39">
        <f>IF(AND(E800="",F800=""),"",MAX(ABS(E800),ABS(F800)))</f>
        <v/>
      </c>
      <c r="M800" s="40" t="n"/>
    </row>
    <row r="801" ht="15" customHeight="1" s="25">
      <c r="E801" s="39" t="n"/>
      <c r="F801" s="39" t="n"/>
      <c r="G801" s="39">
        <f>IF(AND(E801="",F801=""),"",MAX(ABS(E801),ABS(F801)))</f>
        <v/>
      </c>
      <c r="M801" s="40" t="n"/>
    </row>
    <row r="802" ht="15" customHeight="1" s="25">
      <c r="E802" s="39" t="n"/>
      <c r="F802" s="39" t="n"/>
      <c r="G802" s="39">
        <f>IF(AND(E802="",F802=""),"",MAX(ABS(E802),ABS(F802)))</f>
        <v/>
      </c>
      <c r="M802" s="40" t="n"/>
    </row>
    <row r="803" ht="15" customHeight="1" s="25">
      <c r="E803" s="39" t="n"/>
      <c r="F803" s="39" t="n"/>
      <c r="G803" s="39">
        <f>IF(AND(E803="",F803=""),"",MAX(ABS(E803),ABS(F803)))</f>
        <v/>
      </c>
      <c r="M803" s="40" t="n"/>
    </row>
    <row r="804" ht="15" customHeight="1" s="25">
      <c r="E804" s="39" t="n"/>
      <c r="F804" s="39" t="n"/>
      <c r="G804" s="39">
        <f>IF(AND(E804="",F804=""),"",MAX(ABS(E804),ABS(F804)))</f>
        <v/>
      </c>
      <c r="M804" s="40" t="n"/>
    </row>
    <row r="805" ht="15" customHeight="1" s="25">
      <c r="E805" s="39" t="n"/>
      <c r="F805" s="39" t="n"/>
      <c r="G805" s="39">
        <f>IF(AND(E805="",F805=""),"",MAX(ABS(E805),ABS(F805)))</f>
        <v/>
      </c>
      <c r="M805" s="40" t="n"/>
    </row>
    <row r="806" ht="15" customHeight="1" s="25">
      <c r="E806" s="39" t="n"/>
      <c r="F806" s="39" t="n"/>
      <c r="G806" s="39">
        <f>IF(AND(E806="",F806=""),"",MAX(ABS(E806),ABS(F806)))</f>
        <v/>
      </c>
      <c r="M806" s="40" t="n"/>
    </row>
    <row r="807" ht="15" customHeight="1" s="25">
      <c r="E807" s="39" t="n"/>
      <c r="F807" s="39" t="n"/>
      <c r="G807" s="39">
        <f>IF(AND(E807="",F807=""),"",MAX(ABS(E807),ABS(F807)))</f>
        <v/>
      </c>
      <c r="M807" s="40" t="n"/>
    </row>
    <row r="808" ht="15" customHeight="1" s="25">
      <c r="E808" s="39" t="n"/>
      <c r="F808" s="39" t="n"/>
      <c r="G808" s="39">
        <f>IF(AND(E808="",F808=""),"",MAX(ABS(E808),ABS(F808)))</f>
        <v/>
      </c>
      <c r="M808" s="40" t="n"/>
    </row>
    <row r="809" ht="15" customHeight="1" s="25">
      <c r="E809" s="39" t="n"/>
      <c r="F809" s="39" t="n"/>
      <c r="G809" s="39">
        <f>IF(AND(E809="",F809=""),"",MAX(ABS(E809),ABS(F809)))</f>
        <v/>
      </c>
      <c r="M809" s="40" t="n"/>
    </row>
    <row r="810" ht="15" customHeight="1" s="25">
      <c r="E810" s="39" t="n"/>
      <c r="F810" s="39" t="n"/>
      <c r="G810" s="39">
        <f>IF(AND(E810="",F810=""),"",MAX(ABS(E810),ABS(F810)))</f>
        <v/>
      </c>
      <c r="M810" s="40" t="n"/>
    </row>
    <row r="811" ht="15" customHeight="1" s="25">
      <c r="E811" s="39" t="n"/>
      <c r="F811" s="39" t="n"/>
      <c r="G811" s="39">
        <f>IF(AND(E811="",F811=""),"",MAX(ABS(E811),ABS(F811)))</f>
        <v/>
      </c>
      <c r="M811" s="40" t="n"/>
    </row>
    <row r="812" ht="15" customHeight="1" s="25">
      <c r="E812" s="39" t="n"/>
      <c r="F812" s="39" t="n"/>
      <c r="G812" s="39">
        <f>IF(AND(E812="",F812=""),"",MAX(ABS(E812),ABS(F812)))</f>
        <v/>
      </c>
      <c r="M812" s="40" t="n"/>
    </row>
    <row r="813" ht="15" customHeight="1" s="25">
      <c r="E813" s="39" t="n"/>
      <c r="F813" s="39" t="n"/>
      <c r="G813" s="39">
        <f>IF(AND(E813="",F813=""),"",MAX(ABS(E813),ABS(F813)))</f>
        <v/>
      </c>
      <c r="M813" s="40" t="n"/>
    </row>
    <row r="814" ht="15" customHeight="1" s="25">
      <c r="E814" s="39" t="n"/>
      <c r="F814" s="39" t="n"/>
      <c r="G814" s="39">
        <f>IF(AND(E814="",F814=""),"",MAX(ABS(E814),ABS(F814)))</f>
        <v/>
      </c>
      <c r="M814" s="40" t="n"/>
    </row>
    <row r="815" ht="15" customHeight="1" s="25">
      <c r="E815" s="39" t="n"/>
      <c r="F815" s="39" t="n"/>
      <c r="G815" s="39">
        <f>IF(AND(E815="",F815=""),"",MAX(ABS(E815),ABS(F815)))</f>
        <v/>
      </c>
      <c r="M815" s="40" t="n"/>
    </row>
    <row r="816" ht="15" customHeight="1" s="25">
      <c r="E816" s="39" t="n"/>
      <c r="F816" s="39" t="n"/>
      <c r="G816" s="39">
        <f>IF(AND(E816="",F816=""),"",MAX(ABS(E816),ABS(F816)))</f>
        <v/>
      </c>
      <c r="M816" s="40" t="n"/>
    </row>
    <row r="817" ht="15" customHeight="1" s="25">
      <c r="E817" s="39" t="n"/>
      <c r="F817" s="39" t="n"/>
      <c r="G817" s="39">
        <f>IF(AND(E817="",F817=""),"",MAX(ABS(E817),ABS(F817)))</f>
        <v/>
      </c>
      <c r="M817" s="40" t="n"/>
    </row>
    <row r="818" ht="15" customHeight="1" s="25">
      <c r="E818" s="39" t="n"/>
      <c r="F818" s="39" t="n"/>
      <c r="G818" s="39">
        <f>IF(AND(E818="",F818=""),"",MAX(ABS(E818),ABS(F818)))</f>
        <v/>
      </c>
      <c r="M818" s="40" t="n"/>
    </row>
    <row r="819" ht="15" customHeight="1" s="25">
      <c r="E819" s="39" t="n"/>
      <c r="F819" s="39" t="n"/>
      <c r="G819" s="39">
        <f>IF(AND(E819="",F819=""),"",MAX(ABS(E819),ABS(F819)))</f>
        <v/>
      </c>
      <c r="M819" s="40" t="n"/>
    </row>
    <row r="820" ht="15" customHeight="1" s="25">
      <c r="E820" s="39" t="n"/>
      <c r="F820" s="39" t="n"/>
      <c r="G820" s="39">
        <f>IF(AND(E820="",F820=""),"",MAX(ABS(E820),ABS(F820)))</f>
        <v/>
      </c>
      <c r="M820" s="40" t="n"/>
    </row>
    <row r="821" ht="15" customHeight="1" s="25">
      <c r="E821" s="39" t="n"/>
      <c r="F821" s="39" t="n"/>
      <c r="G821" s="39">
        <f>IF(AND(E821="",F821=""),"",MAX(ABS(E821),ABS(F821)))</f>
        <v/>
      </c>
      <c r="M821" s="40" t="n"/>
    </row>
    <row r="822" ht="15" customHeight="1" s="25">
      <c r="E822" s="39" t="n"/>
      <c r="F822" s="39" t="n"/>
      <c r="G822" s="39">
        <f>IF(AND(E822="",F822=""),"",MAX(ABS(E822),ABS(F822)))</f>
        <v/>
      </c>
      <c r="M822" s="40" t="n"/>
    </row>
    <row r="823" ht="15" customHeight="1" s="25">
      <c r="E823" s="39" t="n"/>
      <c r="F823" s="39" t="n"/>
      <c r="G823" s="39">
        <f>IF(AND(E823="",F823=""),"",MAX(ABS(E823),ABS(F823)))</f>
        <v/>
      </c>
      <c r="M823" s="40" t="n"/>
    </row>
    <row r="824" ht="15" customHeight="1" s="25">
      <c r="E824" s="39" t="n"/>
      <c r="F824" s="39" t="n"/>
      <c r="G824" s="39">
        <f>IF(AND(E824="",F824=""),"",MAX(ABS(E824),ABS(F824)))</f>
        <v/>
      </c>
      <c r="M824" s="40" t="n"/>
    </row>
    <row r="825" ht="15" customHeight="1" s="25">
      <c r="E825" s="39" t="n"/>
      <c r="F825" s="39" t="n"/>
      <c r="G825" s="39">
        <f>IF(AND(E825="",F825=""),"",MAX(ABS(E825),ABS(F825)))</f>
        <v/>
      </c>
      <c r="M825" s="40" t="n"/>
    </row>
    <row r="826" ht="15" customHeight="1" s="25">
      <c r="E826" s="39" t="n"/>
      <c r="F826" s="39" t="n"/>
      <c r="G826" s="39">
        <f>IF(AND(E826="",F826=""),"",MAX(ABS(E826),ABS(F826)))</f>
        <v/>
      </c>
      <c r="M826" s="40" t="n"/>
    </row>
    <row r="827" ht="15" customHeight="1" s="25">
      <c r="E827" s="39" t="n"/>
      <c r="F827" s="39" t="n"/>
      <c r="G827" s="39">
        <f>IF(AND(E827="",F827=""),"",MAX(ABS(E827),ABS(F827)))</f>
        <v/>
      </c>
      <c r="M827" s="40" t="n"/>
    </row>
    <row r="828" ht="15" customHeight="1" s="25">
      <c r="E828" s="39" t="n"/>
      <c r="F828" s="39" t="n"/>
      <c r="G828" s="39">
        <f>IF(AND(E828="",F828=""),"",MAX(ABS(E828),ABS(F828)))</f>
        <v/>
      </c>
      <c r="M828" s="40" t="n"/>
    </row>
    <row r="829" ht="15" customHeight="1" s="25">
      <c r="E829" s="39" t="n"/>
      <c r="F829" s="39" t="n"/>
      <c r="G829" s="39">
        <f>IF(AND(E829="",F829=""),"",MAX(ABS(E829),ABS(F829)))</f>
        <v/>
      </c>
      <c r="M829" s="40" t="n"/>
    </row>
    <row r="830" ht="15" customHeight="1" s="25">
      <c r="E830" s="39" t="n"/>
      <c r="F830" s="39" t="n"/>
      <c r="G830" s="39">
        <f>IF(AND(E830="",F830=""),"",MAX(ABS(E830),ABS(F830)))</f>
        <v/>
      </c>
      <c r="M830" s="40" t="n"/>
    </row>
    <row r="831" ht="15" customHeight="1" s="25">
      <c r="E831" s="39" t="n"/>
      <c r="F831" s="39" t="n"/>
      <c r="G831" s="39">
        <f>IF(AND(E831="",F831=""),"",MAX(ABS(E831),ABS(F831)))</f>
        <v/>
      </c>
      <c r="M831" s="40" t="n"/>
    </row>
    <row r="832" ht="15" customHeight="1" s="25">
      <c r="E832" s="39" t="n"/>
      <c r="F832" s="39" t="n"/>
      <c r="G832" s="39">
        <f>IF(AND(E832="",F832=""),"",MAX(ABS(E832),ABS(F832)))</f>
        <v/>
      </c>
      <c r="M832" s="40" t="n"/>
    </row>
    <row r="833" ht="15" customHeight="1" s="25">
      <c r="E833" s="39" t="n"/>
      <c r="F833" s="39" t="n"/>
      <c r="G833" s="39">
        <f>IF(AND(E833="",F833=""),"",MAX(ABS(E833),ABS(F833)))</f>
        <v/>
      </c>
      <c r="M833" s="40" t="n"/>
    </row>
    <row r="834" ht="15" customHeight="1" s="25">
      <c r="E834" s="39" t="n"/>
      <c r="F834" s="39" t="n"/>
      <c r="G834" s="39">
        <f>IF(AND(E834="",F834=""),"",MAX(ABS(E834),ABS(F834)))</f>
        <v/>
      </c>
      <c r="M834" s="40" t="n"/>
    </row>
    <row r="835" ht="15" customHeight="1" s="25">
      <c r="E835" s="39" t="n"/>
      <c r="F835" s="39" t="n"/>
      <c r="G835" s="39">
        <f>IF(AND(E835="",F835=""),"",MAX(ABS(E835),ABS(F835)))</f>
        <v/>
      </c>
      <c r="M835" s="40" t="n"/>
    </row>
    <row r="836" ht="15" customHeight="1" s="25">
      <c r="E836" s="39" t="n"/>
      <c r="F836" s="39" t="n"/>
      <c r="G836" s="39">
        <f>IF(AND(E836="",F836=""),"",MAX(ABS(E836),ABS(F836)))</f>
        <v/>
      </c>
      <c r="M836" s="40" t="n"/>
    </row>
    <row r="837" ht="15" customHeight="1" s="25">
      <c r="E837" s="39" t="n"/>
      <c r="F837" s="39" t="n"/>
      <c r="G837" s="39">
        <f>IF(AND(E837="",F837=""),"",MAX(ABS(E837),ABS(F837)))</f>
        <v/>
      </c>
      <c r="M837" s="40" t="n"/>
    </row>
    <row r="838" ht="15" customHeight="1" s="25">
      <c r="E838" s="39" t="n"/>
      <c r="F838" s="39" t="n"/>
      <c r="G838" s="39">
        <f>IF(AND(E838="",F838=""),"",MAX(ABS(E838),ABS(F838)))</f>
        <v/>
      </c>
      <c r="M838" s="40" t="n"/>
    </row>
    <row r="839" ht="15" customHeight="1" s="25">
      <c r="E839" s="39" t="n"/>
      <c r="F839" s="39" t="n"/>
      <c r="G839" s="39">
        <f>IF(AND(E839="",F839=""),"",MAX(ABS(E839),ABS(F839)))</f>
        <v/>
      </c>
      <c r="M839" s="40" t="n"/>
    </row>
    <row r="840" ht="15" customHeight="1" s="25">
      <c r="E840" s="39" t="n"/>
      <c r="F840" s="39" t="n"/>
      <c r="G840" s="39">
        <f>IF(AND(E840="",F840=""),"",MAX(ABS(E840),ABS(F840)))</f>
        <v/>
      </c>
      <c r="M840" s="40" t="n"/>
    </row>
    <row r="841" ht="15" customHeight="1" s="25">
      <c r="E841" s="39" t="n"/>
      <c r="F841" s="39" t="n"/>
      <c r="G841" s="39">
        <f>IF(AND(E841="",F841=""),"",MAX(ABS(E841),ABS(F841)))</f>
        <v/>
      </c>
      <c r="M841" s="40" t="n"/>
    </row>
    <row r="842" ht="15" customHeight="1" s="25">
      <c r="E842" s="39" t="n"/>
      <c r="F842" s="39" t="n"/>
      <c r="G842" s="39">
        <f>IF(AND(E842="",F842=""),"",MAX(ABS(E842),ABS(F842)))</f>
        <v/>
      </c>
      <c r="M842" s="40" t="n"/>
    </row>
    <row r="843" ht="15" customHeight="1" s="25">
      <c r="E843" s="39" t="n"/>
      <c r="F843" s="39" t="n"/>
      <c r="G843" s="39">
        <f>IF(AND(E843="",F843=""),"",MAX(ABS(E843),ABS(F843)))</f>
        <v/>
      </c>
      <c r="M843" s="40" t="n"/>
    </row>
    <row r="844" ht="15" customHeight="1" s="25">
      <c r="E844" s="39" t="n"/>
      <c r="F844" s="39" t="n"/>
      <c r="G844" s="39">
        <f>IF(AND(E844="",F844=""),"",MAX(ABS(E844),ABS(F844)))</f>
        <v/>
      </c>
      <c r="M844" s="40" t="n"/>
    </row>
    <row r="845" ht="15" customHeight="1" s="25">
      <c r="E845" s="39" t="n"/>
      <c r="F845" s="39" t="n"/>
      <c r="G845" s="39">
        <f>IF(AND(E845="",F845=""),"",MAX(ABS(E845),ABS(F845)))</f>
        <v/>
      </c>
      <c r="M845" s="40" t="n"/>
    </row>
    <row r="846" ht="15" customHeight="1" s="25">
      <c r="E846" s="39" t="n"/>
      <c r="F846" s="39" t="n"/>
      <c r="G846" s="39">
        <f>IF(AND(E846="",F846=""),"",MAX(ABS(E846),ABS(F846)))</f>
        <v/>
      </c>
      <c r="M846" s="40" t="n"/>
    </row>
    <row r="847" ht="15" customHeight="1" s="25">
      <c r="E847" s="39" t="n"/>
      <c r="F847" s="39" t="n"/>
      <c r="G847" s="39">
        <f>IF(AND(E847="",F847=""),"",MAX(ABS(E847),ABS(F847)))</f>
        <v/>
      </c>
      <c r="M847" s="40" t="n"/>
    </row>
    <row r="848" ht="15" customHeight="1" s="25">
      <c r="E848" s="39" t="n"/>
      <c r="F848" s="39" t="n"/>
      <c r="G848" s="39">
        <f>IF(AND(E848="",F848=""),"",MAX(ABS(E848),ABS(F848)))</f>
        <v/>
      </c>
      <c r="M848" s="40" t="n"/>
    </row>
    <row r="849" ht="15" customHeight="1" s="25">
      <c r="E849" s="39" t="n"/>
      <c r="F849" s="39" t="n"/>
      <c r="G849" s="39">
        <f>IF(AND(E849="",F849=""),"",MAX(ABS(E849),ABS(F849)))</f>
        <v/>
      </c>
      <c r="M849" s="40" t="n"/>
    </row>
    <row r="850" ht="15" customHeight="1" s="25">
      <c r="E850" s="39" t="n"/>
      <c r="F850" s="39" t="n"/>
      <c r="G850" s="39">
        <f>IF(AND(E850="",F850=""),"",MAX(ABS(E850),ABS(F850)))</f>
        <v/>
      </c>
      <c r="M850" s="40" t="n"/>
    </row>
    <row r="851" ht="15" customHeight="1" s="25">
      <c r="E851" s="39" t="n"/>
      <c r="F851" s="39" t="n"/>
      <c r="G851" s="39">
        <f>IF(AND(E851="",F851=""),"",MAX(ABS(E851),ABS(F851)))</f>
        <v/>
      </c>
      <c r="M851" s="40" t="n"/>
    </row>
    <row r="852" ht="15" customHeight="1" s="25">
      <c r="E852" s="39" t="n"/>
      <c r="F852" s="39" t="n"/>
      <c r="G852" s="39">
        <f>IF(AND(E852="",F852=""),"",MAX(ABS(E852),ABS(F852)))</f>
        <v/>
      </c>
      <c r="M852" s="40" t="n"/>
    </row>
    <row r="853" ht="15" customHeight="1" s="25">
      <c r="E853" s="39" t="n"/>
      <c r="F853" s="39" t="n"/>
      <c r="G853" s="39">
        <f>IF(AND(E853="",F853=""),"",MAX(ABS(E853),ABS(F853)))</f>
        <v/>
      </c>
      <c r="M853" s="40" t="n"/>
    </row>
    <row r="854" ht="15" customHeight="1" s="25">
      <c r="E854" s="39" t="n"/>
      <c r="F854" s="39" t="n"/>
      <c r="G854" s="39">
        <f>IF(AND(E854="",F854=""),"",MAX(ABS(E854),ABS(F854)))</f>
        <v/>
      </c>
      <c r="M854" s="40" t="n"/>
    </row>
    <row r="855" ht="15" customHeight="1" s="25">
      <c r="E855" s="39" t="n"/>
      <c r="F855" s="39" t="n"/>
      <c r="G855" s="39">
        <f>IF(AND(E855="",F855=""),"",MAX(ABS(E855),ABS(F855)))</f>
        <v/>
      </c>
      <c r="M855" s="40" t="n"/>
    </row>
    <row r="856" ht="15" customHeight="1" s="25">
      <c r="E856" s="39" t="n"/>
      <c r="F856" s="39" t="n"/>
      <c r="G856" s="39">
        <f>IF(AND(E856="",F856=""),"",MAX(ABS(E856),ABS(F856)))</f>
        <v/>
      </c>
      <c r="M856" s="40" t="n"/>
    </row>
    <row r="857" ht="15" customHeight="1" s="25">
      <c r="E857" s="39" t="n"/>
      <c r="F857" s="39" t="n"/>
      <c r="G857" s="39">
        <f>IF(AND(E857="",F857=""),"",MAX(ABS(E857),ABS(F857)))</f>
        <v/>
      </c>
      <c r="M857" s="40" t="n"/>
    </row>
    <row r="858" ht="15" customHeight="1" s="25">
      <c r="E858" s="39" t="n"/>
      <c r="F858" s="39" t="n"/>
      <c r="G858" s="39">
        <f>IF(AND(E858="",F858=""),"",MAX(ABS(E858),ABS(F858)))</f>
        <v/>
      </c>
      <c r="M858" s="40" t="n"/>
    </row>
    <row r="859" ht="15" customHeight="1" s="25">
      <c r="E859" s="39" t="n"/>
      <c r="F859" s="39" t="n"/>
      <c r="G859" s="39">
        <f>IF(AND(E859="",F859=""),"",MAX(ABS(E859),ABS(F859)))</f>
        <v/>
      </c>
      <c r="M859" s="40" t="n"/>
    </row>
    <row r="860" ht="15" customHeight="1" s="25">
      <c r="E860" s="39" t="n"/>
      <c r="F860" s="39" t="n"/>
      <c r="G860" s="39">
        <f>IF(AND(E860="",F860=""),"",MAX(ABS(E860),ABS(F860)))</f>
        <v/>
      </c>
      <c r="M860" s="40" t="n"/>
    </row>
    <row r="861" ht="15" customHeight="1" s="25">
      <c r="E861" s="39" t="n"/>
      <c r="F861" s="39" t="n"/>
      <c r="G861" s="39">
        <f>IF(AND(E861="",F861=""),"",MAX(ABS(E861),ABS(F861)))</f>
        <v/>
      </c>
      <c r="M861" s="40" t="n"/>
    </row>
    <row r="862" ht="15" customHeight="1" s="25">
      <c r="E862" s="39" t="n"/>
      <c r="F862" s="39" t="n"/>
      <c r="G862" s="39">
        <f>IF(AND(E862="",F862=""),"",MAX(ABS(E862),ABS(F862)))</f>
        <v/>
      </c>
      <c r="M862" s="40" t="n"/>
    </row>
    <row r="863" ht="15" customHeight="1" s="25">
      <c r="E863" s="39" t="n"/>
      <c r="F863" s="39" t="n"/>
      <c r="G863" s="39">
        <f>IF(AND(E863="",F863=""),"",MAX(ABS(E863),ABS(F863)))</f>
        <v/>
      </c>
      <c r="M863" s="40" t="n"/>
    </row>
    <row r="864" ht="15" customHeight="1" s="25">
      <c r="E864" s="39" t="n"/>
      <c r="F864" s="39" t="n"/>
      <c r="G864" s="39">
        <f>IF(AND(E864="",F864=""),"",MAX(ABS(E864),ABS(F864)))</f>
        <v/>
      </c>
      <c r="M864" s="40" t="n"/>
    </row>
    <row r="865" ht="15" customHeight="1" s="25">
      <c r="E865" s="39" t="n"/>
      <c r="F865" s="39" t="n"/>
      <c r="G865" s="39">
        <f>IF(AND(E865="",F865=""),"",MAX(ABS(E865),ABS(F865)))</f>
        <v/>
      </c>
      <c r="M865" s="40" t="n"/>
    </row>
    <row r="866" ht="15" customHeight="1" s="25">
      <c r="E866" s="39" t="n"/>
      <c r="F866" s="39" t="n"/>
      <c r="G866" s="39">
        <f>IF(AND(E866="",F866=""),"",MAX(ABS(E866),ABS(F866)))</f>
        <v/>
      </c>
      <c r="M866" s="40" t="n"/>
    </row>
    <row r="867" ht="15" customHeight="1" s="25">
      <c r="E867" s="39" t="n"/>
      <c r="F867" s="39" t="n"/>
      <c r="G867" s="39">
        <f>IF(AND(E867="",F867=""),"",MAX(ABS(E867),ABS(F867)))</f>
        <v/>
      </c>
      <c r="M867" s="40" t="n"/>
    </row>
    <row r="868" ht="15" customHeight="1" s="25">
      <c r="E868" s="39" t="n"/>
      <c r="F868" s="39" t="n"/>
      <c r="G868" s="39">
        <f>IF(AND(E868="",F868=""),"",MAX(ABS(E868),ABS(F868)))</f>
        <v/>
      </c>
      <c r="M868" s="40" t="n"/>
    </row>
    <row r="869" ht="15" customHeight="1" s="25">
      <c r="E869" s="39" t="n"/>
      <c r="F869" s="39" t="n"/>
      <c r="G869" s="39">
        <f>IF(AND(E869="",F869=""),"",MAX(ABS(E869),ABS(F869)))</f>
        <v/>
      </c>
      <c r="M869" s="40" t="n"/>
    </row>
    <row r="870" ht="15" customHeight="1" s="25">
      <c r="E870" s="39" t="n"/>
      <c r="F870" s="39" t="n"/>
      <c r="G870" s="39">
        <f>IF(AND(E870="",F870=""),"",MAX(ABS(E870),ABS(F870)))</f>
        <v/>
      </c>
      <c r="M870" s="40" t="n"/>
    </row>
    <row r="871" ht="15" customHeight="1" s="25">
      <c r="E871" s="39" t="n"/>
      <c r="F871" s="39" t="n"/>
      <c r="G871" s="39">
        <f>IF(AND(E871="",F871=""),"",MAX(ABS(E871),ABS(F871)))</f>
        <v/>
      </c>
      <c r="M871" s="40" t="n"/>
    </row>
    <row r="872" ht="15" customHeight="1" s="25">
      <c r="E872" s="39" t="n"/>
      <c r="F872" s="39" t="n"/>
      <c r="G872" s="39">
        <f>IF(AND(E872="",F872=""),"",MAX(ABS(E872),ABS(F872)))</f>
        <v/>
      </c>
      <c r="M872" s="40" t="n"/>
    </row>
    <row r="873" ht="15" customHeight="1" s="25">
      <c r="E873" s="39" t="n"/>
      <c r="F873" s="39" t="n"/>
      <c r="G873" s="39">
        <f>IF(AND(E873="",F873=""),"",MAX(ABS(E873),ABS(F873)))</f>
        <v/>
      </c>
      <c r="M873" s="40" t="n"/>
    </row>
    <row r="874" ht="15" customHeight="1" s="25">
      <c r="E874" s="39" t="n"/>
      <c r="F874" s="39" t="n"/>
      <c r="G874" s="39">
        <f>IF(AND(E874="",F874=""),"",MAX(ABS(E874),ABS(F874)))</f>
        <v/>
      </c>
      <c r="M874" s="40" t="n"/>
    </row>
    <row r="875" ht="15" customHeight="1" s="25">
      <c r="E875" s="39" t="n"/>
      <c r="F875" s="39" t="n"/>
      <c r="G875" s="39">
        <f>IF(AND(E875="",F875=""),"",MAX(ABS(E875),ABS(F875)))</f>
        <v/>
      </c>
      <c r="M875" s="40" t="n"/>
    </row>
    <row r="876" ht="15" customHeight="1" s="25">
      <c r="E876" s="39" t="n"/>
      <c r="F876" s="39" t="n"/>
      <c r="G876" s="39">
        <f>IF(AND(E876="",F876=""),"",MAX(ABS(E876),ABS(F876)))</f>
        <v/>
      </c>
      <c r="M876" s="40" t="n"/>
    </row>
    <row r="877" ht="15" customHeight="1" s="25">
      <c r="E877" s="39" t="n"/>
      <c r="F877" s="39" t="n"/>
      <c r="G877" s="39">
        <f>IF(AND(E877="",F877=""),"",MAX(ABS(E877),ABS(F877)))</f>
        <v/>
      </c>
      <c r="M877" s="40" t="n"/>
    </row>
    <row r="878" ht="15" customHeight="1" s="25">
      <c r="E878" s="39" t="n"/>
      <c r="F878" s="39" t="n"/>
      <c r="G878" s="39">
        <f>IF(AND(E878="",F878=""),"",MAX(ABS(E878),ABS(F878)))</f>
        <v/>
      </c>
      <c r="M878" s="40" t="n"/>
    </row>
    <row r="879" ht="15" customHeight="1" s="25">
      <c r="E879" s="39" t="n"/>
      <c r="F879" s="39" t="n"/>
      <c r="G879" s="39">
        <f>IF(AND(E879="",F879=""),"",MAX(ABS(E879),ABS(F879)))</f>
        <v/>
      </c>
      <c r="M879" s="40" t="n"/>
    </row>
    <row r="880" ht="15" customHeight="1" s="25">
      <c r="E880" s="39" t="n"/>
      <c r="F880" s="39" t="n"/>
      <c r="G880" s="39">
        <f>IF(AND(E880="",F880=""),"",MAX(ABS(E880),ABS(F880)))</f>
        <v/>
      </c>
      <c r="M880" s="40" t="n"/>
    </row>
    <row r="881" ht="15" customHeight="1" s="25">
      <c r="E881" s="39" t="n"/>
      <c r="F881" s="39" t="n"/>
      <c r="G881" s="39">
        <f>IF(AND(E881="",F881=""),"",MAX(ABS(E881),ABS(F881)))</f>
        <v/>
      </c>
      <c r="M881" s="40" t="n"/>
    </row>
    <row r="882" ht="15" customHeight="1" s="25">
      <c r="E882" s="39" t="n"/>
      <c r="F882" s="39" t="n"/>
      <c r="G882" s="39">
        <f>IF(AND(E882="",F882=""),"",MAX(ABS(E882),ABS(F882)))</f>
        <v/>
      </c>
      <c r="M882" s="40" t="n"/>
    </row>
    <row r="883" ht="15" customHeight="1" s="25">
      <c r="E883" s="39" t="n"/>
      <c r="F883" s="39" t="n"/>
      <c r="G883" s="39">
        <f>IF(AND(E883="",F883=""),"",MAX(ABS(E883),ABS(F883)))</f>
        <v/>
      </c>
      <c r="M883" s="40" t="n"/>
    </row>
    <row r="884" ht="15" customHeight="1" s="25">
      <c r="E884" s="39" t="n"/>
      <c r="F884" s="39" t="n"/>
      <c r="G884" s="39">
        <f>IF(AND(E884="",F884=""),"",MAX(ABS(E884),ABS(F884)))</f>
        <v/>
      </c>
      <c r="M884" s="40" t="n"/>
    </row>
    <row r="885" ht="15" customHeight="1" s="25">
      <c r="E885" s="39" t="n"/>
      <c r="F885" s="39" t="n"/>
      <c r="G885" s="39">
        <f>IF(AND(E885="",F885=""),"",MAX(ABS(E885),ABS(F885)))</f>
        <v/>
      </c>
      <c r="M885" s="40" t="n"/>
    </row>
    <row r="886" ht="15" customHeight="1" s="25">
      <c r="E886" s="39" t="n"/>
      <c r="F886" s="39" t="n"/>
      <c r="G886" s="39">
        <f>IF(AND(E886="",F886=""),"",MAX(ABS(E886),ABS(F886)))</f>
        <v/>
      </c>
      <c r="M886" s="40" t="n"/>
    </row>
    <row r="887" ht="15" customHeight="1" s="25">
      <c r="E887" s="39" t="n"/>
      <c r="F887" s="39" t="n"/>
      <c r="G887" s="39">
        <f>IF(AND(E887="",F887=""),"",MAX(ABS(E887),ABS(F887)))</f>
        <v/>
      </c>
      <c r="M887" s="40" t="n"/>
    </row>
    <row r="888" ht="15" customHeight="1" s="25">
      <c r="E888" s="39" t="n"/>
      <c r="F888" s="39" t="n"/>
      <c r="G888" s="39">
        <f>IF(AND(E888="",F888=""),"",MAX(ABS(E888),ABS(F888)))</f>
        <v/>
      </c>
      <c r="M888" s="40" t="n"/>
    </row>
    <row r="889" ht="15" customHeight="1" s="25">
      <c r="E889" s="39" t="n"/>
      <c r="F889" s="39" t="n"/>
      <c r="G889" s="39">
        <f>IF(AND(E889="",F889=""),"",MAX(ABS(E889),ABS(F889)))</f>
        <v/>
      </c>
      <c r="M889" s="40" t="n"/>
    </row>
    <row r="890" ht="15" customHeight="1" s="25">
      <c r="E890" s="39" t="n"/>
      <c r="F890" s="39" t="n"/>
      <c r="G890" s="39">
        <f>IF(AND(E890="",F890=""),"",MAX(ABS(E890),ABS(F890)))</f>
        <v/>
      </c>
      <c r="M890" s="40" t="n"/>
    </row>
    <row r="891" ht="15" customHeight="1" s="25">
      <c r="E891" s="39" t="n"/>
      <c r="F891" s="39" t="n"/>
      <c r="G891" s="39">
        <f>IF(AND(E891="",F891=""),"",MAX(ABS(E891),ABS(F891)))</f>
        <v/>
      </c>
      <c r="M891" s="40" t="n"/>
    </row>
    <row r="892" ht="15" customHeight="1" s="25">
      <c r="E892" s="39" t="n"/>
      <c r="F892" s="39" t="n"/>
      <c r="G892" s="39">
        <f>IF(AND(E892="",F892=""),"",MAX(ABS(E892),ABS(F892)))</f>
        <v/>
      </c>
      <c r="M892" s="40" t="n"/>
    </row>
    <row r="893" ht="15" customHeight="1" s="25">
      <c r="E893" s="39" t="n"/>
      <c r="F893" s="39" t="n"/>
      <c r="G893" s="39">
        <f>IF(AND(E893="",F893=""),"",MAX(ABS(E893),ABS(F893)))</f>
        <v/>
      </c>
      <c r="M893" s="40" t="n"/>
    </row>
    <row r="894" ht="15" customHeight="1" s="25">
      <c r="E894" s="39" t="n"/>
      <c r="F894" s="39" t="n"/>
      <c r="G894" s="39">
        <f>IF(AND(E894="",F894=""),"",MAX(ABS(E894),ABS(F894)))</f>
        <v/>
      </c>
      <c r="M894" s="40" t="n"/>
    </row>
    <row r="895" ht="15" customHeight="1" s="25">
      <c r="E895" s="39" t="n"/>
      <c r="F895" s="39" t="n"/>
      <c r="G895" s="39">
        <f>IF(AND(E895="",F895=""),"",MAX(ABS(E895),ABS(F895)))</f>
        <v/>
      </c>
      <c r="M895" s="40" t="n"/>
    </row>
    <row r="896" ht="15" customHeight="1" s="25">
      <c r="E896" s="39" t="n"/>
      <c r="F896" s="39" t="n"/>
      <c r="G896" s="39">
        <f>IF(AND(E896="",F896=""),"",MAX(ABS(E896),ABS(F896)))</f>
        <v/>
      </c>
      <c r="M896" s="40" t="n"/>
    </row>
    <row r="897" ht="15" customHeight="1" s="25">
      <c r="E897" s="39" t="n"/>
      <c r="F897" s="39" t="n"/>
      <c r="G897" s="39">
        <f>IF(AND(E897="",F897=""),"",MAX(ABS(E897),ABS(F897)))</f>
        <v/>
      </c>
      <c r="M897" s="40" t="n"/>
    </row>
    <row r="898" ht="15" customHeight="1" s="25">
      <c r="E898" s="39" t="n"/>
      <c r="F898" s="39" t="n"/>
      <c r="G898" s="39">
        <f>IF(AND(E898="",F898=""),"",MAX(ABS(E898),ABS(F898)))</f>
        <v/>
      </c>
      <c r="M898" s="40" t="n"/>
    </row>
    <row r="899" ht="15" customHeight="1" s="25">
      <c r="E899" s="39" t="n"/>
      <c r="F899" s="39" t="n"/>
      <c r="G899" s="39">
        <f>IF(AND(E899="",F899=""),"",MAX(ABS(E899),ABS(F899)))</f>
        <v/>
      </c>
      <c r="M899" s="40" t="n"/>
    </row>
    <row r="900" ht="15" customHeight="1" s="25">
      <c r="E900" s="39" t="n"/>
      <c r="F900" s="39" t="n"/>
      <c r="G900" s="39">
        <f>IF(AND(E900="",F900=""),"",MAX(ABS(E900),ABS(F900)))</f>
        <v/>
      </c>
      <c r="M900" s="40" t="n"/>
    </row>
    <row r="901" ht="15" customHeight="1" s="25">
      <c r="E901" s="39" t="n"/>
      <c r="F901" s="39" t="n"/>
      <c r="G901" s="39">
        <f>IF(AND(E901="",F901=""),"",MAX(ABS(E901),ABS(F901)))</f>
        <v/>
      </c>
      <c r="M901" s="40" t="n"/>
    </row>
    <row r="902" ht="15" customHeight="1" s="25">
      <c r="E902" s="39" t="n"/>
      <c r="F902" s="39" t="n"/>
      <c r="G902" s="39">
        <f>IF(AND(E902="",F902=""),"",MAX(ABS(E902),ABS(F902)))</f>
        <v/>
      </c>
      <c r="M902" s="40" t="n"/>
    </row>
    <row r="903" ht="15" customHeight="1" s="25">
      <c r="E903" s="39" t="n"/>
      <c r="F903" s="39" t="n"/>
      <c r="G903" s="39">
        <f>IF(AND(E903="",F903=""),"",MAX(ABS(E903),ABS(F903)))</f>
        <v/>
      </c>
      <c r="M903" s="40" t="n"/>
    </row>
    <row r="904" ht="15" customHeight="1" s="25">
      <c r="E904" s="39" t="n"/>
      <c r="F904" s="39" t="n"/>
      <c r="G904" s="39">
        <f>IF(AND(E904="",F904=""),"",MAX(ABS(E904),ABS(F904)))</f>
        <v/>
      </c>
      <c r="M904" s="40" t="n"/>
    </row>
    <row r="905" ht="15" customHeight="1" s="25">
      <c r="E905" s="39" t="n"/>
      <c r="F905" s="39" t="n"/>
      <c r="G905" s="39">
        <f>IF(AND(E905="",F905=""),"",MAX(ABS(E905),ABS(F905)))</f>
        <v/>
      </c>
      <c r="M905" s="40" t="n"/>
    </row>
  </sheetData>
  <dataValidations count="1">
    <dataValidation sqref="H6:H905" showDropDown="0" showInputMessage="0" showErrorMessage="0" allowBlank="1" errorTitle="Not a canonical class" error="Choose a class from the taxonomy. Inventing a class breaks every downstream metric." type="list" errorStyle="stop" operator="between">
      <formula1>'Canonical Classes'!$A$5:$A$86</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D23"/>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6" customWidth="1" style="24" min="1" max="1"/>
    <col width="22" customWidth="1" style="24" min="2" max="2"/>
    <col width="16" customWidth="1" style="24" min="3" max="3"/>
    <col width="60" customWidth="1" style="24" min="4" max="4"/>
  </cols>
  <sheetData>
    <row r="1" ht="17.35" customHeight="1" s="25">
      <c r="A1" s="26" t="inlineStr">
        <is>
          <t>Coverage and freeze gate</t>
        </is>
      </c>
    </row>
    <row r="2" ht="15" customHeight="1" s="25">
      <c r="A2" s="27" t="inlineStr">
        <is>
          <t>Every figure below recalculates from the Mapping tab. The number that matters is unmapped value in rupees, not the count of unmapped ledgers.</t>
        </is>
      </c>
    </row>
    <row r="5" ht="15" customHeight="1" s="25">
      <c r="A5" s="41" t="inlineStr">
        <is>
          <t>Total ledgers in the chart</t>
        </is>
      </c>
      <c r="C5" s="35">
        <f>COUNTA(Mapping!B6:B905)</f>
        <v/>
      </c>
      <c r="D5" s="42" t="n"/>
    </row>
    <row r="6" ht="15" customHeight="1" s="25">
      <c r="A6" s="41" t="inlineStr">
        <is>
          <t>Ledgers assigned a class</t>
        </is>
      </c>
      <c r="C6" s="35">
        <f>COUNTIF(Mapping!H6:H905,"&lt;&gt;")</f>
        <v/>
      </c>
      <c r="D6" s="42" t="n"/>
    </row>
    <row r="7" ht="15" customHeight="1" s="25">
      <c r="A7" s="41" t="inlineStr">
        <is>
          <t>Ledgers in suspense</t>
        </is>
      </c>
      <c r="C7" s="35">
        <f>COUNTIF(Mapping!H6:H905,"suspense.unmapped")</f>
        <v/>
      </c>
      <c r="D7" s="42" t="inlineStr">
        <is>
          <t>Acceptable, provided the value below is small</t>
        </is>
      </c>
    </row>
    <row r="8" ht="15" customHeight="1" s="25">
      <c r="A8" s="41" t="inlineStr">
        <is>
          <t>Ledgers with no class at all</t>
        </is>
      </c>
      <c r="C8" s="35">
        <f>C5-C6</f>
        <v/>
      </c>
      <c r="D8" s="42" t="inlineStr">
        <is>
          <t>Must reach zero before freeze</t>
        </is>
      </c>
    </row>
    <row r="10" ht="15" customHeight="1" s="25">
      <c r="A10" s="41" t="inlineStr">
        <is>
          <t>Total value carried</t>
        </is>
      </c>
      <c r="C10" s="43">
        <f>SUM(Mapping!G6:G905)</f>
        <v/>
      </c>
      <c r="D10" s="42" t="n"/>
    </row>
    <row r="11" ht="15" customHeight="1" s="25">
      <c r="A11" s="41" t="inlineStr">
        <is>
          <t>Value mapped to a real class</t>
        </is>
      </c>
      <c r="C11" s="43">
        <f>SUMIFS(Mapping!G6:G905,Mapping!H6:H905,"&lt;&gt;",Mapping!H6:H905,"&lt;&gt;suspense.unmapped")</f>
        <v/>
      </c>
      <c r="D11" s="42" t="n"/>
    </row>
    <row r="12" ht="15" customHeight="1" s="25">
      <c r="A12" s="41" t="inlineStr">
        <is>
          <t>Value in suspense</t>
        </is>
      </c>
      <c r="C12" s="43">
        <f>SUMIFS(Mapping!G6:G905,Mapping!H6:H905,"suspense.unmapped")</f>
        <v/>
      </c>
      <c r="D12" s="42" t="n"/>
    </row>
    <row r="13" ht="15" customHeight="1" s="25">
      <c r="A13" s="41" t="inlineStr">
        <is>
          <t>Value with no class at all</t>
        </is>
      </c>
      <c r="C13" s="43">
        <f>C10-C11-C12</f>
        <v/>
      </c>
      <c r="D13" s="42" t="inlineStr">
        <is>
          <t>The figure to watch while reviewing</t>
        </is>
      </c>
    </row>
    <row r="15" ht="15" customHeight="1" s="25">
      <c r="A15" s="41" t="inlineStr">
        <is>
          <t>Coverage, mapped value over total</t>
        </is>
      </c>
      <c r="C15" s="44">
        <f>IFERROR(C11/C10,0)</f>
        <v/>
      </c>
      <c r="D15" s="42" t="inlineStr">
        <is>
          <t>Target 98% or higher. Threshold governed by DECISION-REQUIRED[D-053]</t>
        </is>
      </c>
    </row>
    <row r="16" ht="15" customHeight="1" s="25">
      <c r="A16" s="41" t="inlineStr">
        <is>
          <t>Unmapped value, suspense plus unassigned</t>
        </is>
      </c>
      <c r="C16" s="43">
        <f>C12+C13</f>
        <v/>
      </c>
      <c r="D16" s="42" t="inlineStr">
        <is>
          <t>Display this on the data health screen at all times</t>
        </is>
      </c>
    </row>
    <row r="18" ht="15" customHeight="1" s="25">
      <c r="A18" s="41" t="inlineStr">
        <is>
          <t>Rows approved by a named person</t>
        </is>
      </c>
      <c r="C18" s="35">
        <f>COUNTIF(Mapping!L6:L905,"&lt;&gt;")</f>
        <v/>
      </c>
      <c r="D18" s="42" t="n"/>
    </row>
    <row r="19" ht="15" customHeight="1" s="25">
      <c r="A19" s="41" t="inlineStr">
        <is>
          <t>Rows assigned but not approved</t>
        </is>
      </c>
      <c r="C19" s="35">
        <f>C6-C18</f>
        <v/>
      </c>
      <c r="D19" s="42" t="inlineStr">
        <is>
          <t>Must reach zero before freeze</t>
        </is>
      </c>
    </row>
    <row r="21" ht="22.35" customHeight="1" s="25">
      <c r="A21" s="35" t="inlineStr">
        <is>
          <t>FREEZE GATE</t>
        </is>
      </c>
      <c r="C21" s="45">
        <f>IF(AND(C8=0,C19=0,C15&gt;=0.98),"PASS","BLOCKED")</f>
        <v/>
      </c>
      <c r="D21" s="42" t="inlineStr">
        <is>
          <t>All three conditions: no unassigned ledgers, no unapproved rows, coverage at or above 98%</t>
        </is>
      </c>
    </row>
    <row r="23" ht="23.85" customHeight="1" s="25">
      <c r="A23" s="46" t="inlineStr">
        <is>
          <t>A BLOCKED gate is not advisory. Metrics do not unlock and no statement is generated until it reads PASS. A half-mapped company producing partial statements is worse than one producing none.</t>
        </is>
      </c>
    </row>
  </sheetData>
  <mergeCells count="1">
    <mergeCell ref="A23:D2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H5"/>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24" min="1" max="8"/>
  </cols>
  <sheetData>
    <row r="1" ht="17.35" customHeight="1" s="25">
      <c r="A1" s="26" t="inlineStr">
        <is>
          <t>Item Mapping</t>
        </is>
      </c>
    </row>
    <row r="2" ht="30" customHeight="1" s="25">
      <c r="A2" s="47" t="inlineStr">
        <is>
          <t>One declared unit of measure per product family. A second unit arriving for the same family blocks every per-unit metric rather than being converted. See DECISION-REQUIRED[D-041].</t>
        </is>
      </c>
    </row>
    <row r="4" ht="30" customHeight="1" s="25">
      <c r="A4" s="31" t="inlineStr">
        <is>
          <t>Source item code</t>
        </is>
      </c>
      <c r="B4" s="31" t="inlineStr">
        <is>
          <t>Source item name (verbatim)</t>
        </is>
      </c>
      <c r="C4" s="31" t="inlineStr">
        <is>
          <t>Canonical product category</t>
        </is>
      </c>
      <c r="D4" s="31" t="inlineStr">
        <is>
          <t>Product family</t>
        </is>
      </c>
      <c r="E4" s="31" t="inlineStr">
        <is>
          <t>Declared UOM</t>
        </is>
      </c>
      <c r="F4" s="31" t="inlineStr">
        <is>
          <t>Stock type</t>
        </is>
      </c>
      <c r="G4" s="31" t="inlineStr">
        <is>
          <t>Approved by</t>
        </is>
      </c>
      <c r="H4" s="31" t="inlineStr">
        <is>
          <t>Approved on</t>
        </is>
      </c>
    </row>
    <row r="5" ht="15" customHeight="1" s="25">
      <c r="A5" s="36" t="inlineStr">
        <is>
          <t>RM-1001</t>
        </is>
      </c>
      <c r="B5" s="36" t="inlineStr">
        <is>
          <t>HR Coil 3mm</t>
        </is>
      </c>
      <c r="C5" s="36" t="inlineStr">
        <is>
          <t>steel_flat</t>
        </is>
      </c>
      <c r="D5" s="36" t="inlineStr">
        <is>
          <t>hr_coil</t>
        </is>
      </c>
      <c r="E5" s="36" t="inlineStr">
        <is>
          <t>MT</t>
        </is>
      </c>
      <c r="F5" s="36" t="inlineStr">
        <is>
          <t>Raw material</t>
        </is>
      </c>
      <c r="G5" s="36" t="inlineStr">
        <is>
          <t>B Singhal</t>
        </is>
      </c>
      <c r="H5" s="36" t="inlineStr">
        <is>
          <t>2026-08-20</t>
        </is>
      </c>
    </row>
  </sheetData>
  <mergeCells count="1">
    <mergeCell ref="A2:H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F5"/>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24" min="1" max="6"/>
  </cols>
  <sheetData>
    <row r="1" ht="17.35" customHeight="1" s="25">
      <c r="A1" s="26" t="inlineStr">
        <is>
          <t>Channel Mapping</t>
        </is>
      </c>
    </row>
    <row r="2" ht="30" customHeight="1" s="25">
      <c r="A2" s="47" t="inlineStr">
        <is>
          <t>Consumer profile only. The same marketplace commonly appears under three spellings across three years of order files. Target taxonomy governed by DECISION-REQUIRED[D-046].</t>
        </is>
      </c>
    </row>
    <row r="4" ht="30" customHeight="1" s="25">
      <c r="A4" s="31" t="inlineStr">
        <is>
          <t>Source channel string (verbatim)</t>
        </is>
      </c>
      <c r="B4" s="31" t="inlineStr">
        <is>
          <t>Canonical channel</t>
        </is>
      </c>
      <c r="C4" s="31" t="inlineStr">
        <is>
          <t>Channel group</t>
        </is>
      </c>
      <c r="D4" s="31" t="inlineStr">
        <is>
          <t>Owned or third party</t>
        </is>
      </c>
      <c r="E4" s="31" t="inlineStr">
        <is>
          <t>Approved by</t>
        </is>
      </c>
      <c r="F4" s="31" t="inlineStr">
        <is>
          <t>Approved on</t>
        </is>
      </c>
    </row>
    <row r="5" ht="15" customHeight="1" s="25">
      <c r="A5" s="36" t="inlineStr">
        <is>
          <t>AMZN-IN-SELLER-01</t>
        </is>
      </c>
      <c r="B5" s="36" t="inlineStr">
        <is>
          <t>marketplace_amazon</t>
        </is>
      </c>
      <c r="C5" s="36" t="inlineStr">
        <is>
          <t>marketplace</t>
        </is>
      </c>
      <c r="D5" s="36" t="inlineStr">
        <is>
          <t>Third party</t>
        </is>
      </c>
      <c r="E5" s="36" t="inlineStr">
        <is>
          <t>B Singhal</t>
        </is>
      </c>
      <c r="F5" s="36" t="inlineStr">
        <is>
          <t>2026-08-20</t>
        </is>
      </c>
    </row>
  </sheetData>
  <mergeCells count="1">
    <mergeCell ref="A2:F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2026-08-20T06:46:53Z</dcterms:created>
  <dcterms:modified xsi:type="dcterms:W3CDTF">2026-08-24T12:55:39Z</dcterms:modified>
  <cp:revision>0</cp:revision>
</cp:coreProperties>
</file>